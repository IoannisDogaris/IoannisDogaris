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34aad34b93f997cc/WORK/Github/IoannisDogaris/06-commercial-operations-analytics/outputs/"/>
    </mc:Choice>
  </mc:AlternateContent>
  <xr:revisionPtr revIDLastSave="378" documentId="8_{417F26BB-7E77-4584-B03F-C4E80EDB1177}" xr6:coauthVersionLast="47" xr6:coauthVersionMax="47" xr10:uidLastSave="{B68959B2-E814-44F0-AFFA-1E0C851238BD}"/>
  <bookViews>
    <workbookView xWindow="-96" yWindow="0" windowWidth="25080" windowHeight="16656" xr2:uid="{20E4E78E-1E8F-4808-A164-4ECAC5C2B003}"/>
  </bookViews>
  <sheets>
    <sheet name="Dashboard" sheetId="1" r:id="rId1"/>
    <sheet name="by_channel" sheetId="3" r:id="rId2"/>
    <sheet name="by_product_region_month" sheetId="2" r:id="rId3"/>
  </sheets>
  <definedNames>
    <definedName name="ExternalData_1" localSheetId="2" hidden="1">by_product_region_month!$A$1:$F$577</definedName>
    <definedName name="ExternalData_2" localSheetId="1" hidden="1">by_channel!$A$1:$E$109</definedName>
    <definedName name="Slicer_channel">#N/A</definedName>
    <definedName name="Slicer_product">#N/A</definedName>
    <definedName name="Slicer_region">#N/A</definedName>
    <definedName name="Slicer_year">#N/A</definedName>
  </definedNames>
  <calcPr calcId="191029"/>
  <pivotCaches>
    <pivotCache cacheId="15" r:id="rId4"/>
    <pivotCache cacheId="1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9" i="1" l="1"/>
  <c r="C39" i="1"/>
  <c r="D39" i="1"/>
  <c r="E39" i="1"/>
  <c r="B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82698D-1B36-4BAE-B21B-83F2D7B28B9C}" keepAlive="1" name="Query - by_channel" description="Connection to the 'by_channel' query in the workbook." type="5" refreshedVersion="8" background="1" saveData="1">
    <dbPr connection="Provider=Microsoft.Mashup.OleDb.1;Data Source=$Workbook$;Location=by_channel;Extended Properties=&quot;&quot;" command="SELECT * FROM [by_channel]"/>
  </connection>
  <connection id="2" xr16:uid="{77CAF2C4-9C5F-43B2-AA51-96F14DA9976F}" keepAlive="1" name="Query - by_product_region_month" description="Connection to the 'by_product_region_month' query in the workbook." type="5" refreshedVersion="8" background="1" saveData="1">
    <dbPr connection="Provider=Microsoft.Mashup.OleDb.1;Data Source=$Workbook$;Location=by_product_region_month;Extended Properties=&quot;&quot;" command="SELECT * FROM [by_product_region_month]"/>
  </connection>
</connections>
</file>

<file path=xl/sharedStrings.xml><?xml version="1.0" encoding="utf-8"?>
<sst xmlns="http://schemas.openxmlformats.org/spreadsheetml/2006/main" count="1333" uniqueCount="36">
  <si>
    <t>product</t>
  </si>
  <si>
    <t>region</t>
  </si>
  <si>
    <t>year</t>
  </si>
  <si>
    <t>month</t>
  </si>
  <si>
    <t>revenue</t>
  </si>
  <si>
    <t>units</t>
  </si>
  <si>
    <t>Product A</t>
  </si>
  <si>
    <t>East</t>
  </si>
  <si>
    <t>North</t>
  </si>
  <si>
    <t>South</t>
  </si>
  <si>
    <t>West</t>
  </si>
  <si>
    <t>Product B</t>
  </si>
  <si>
    <t>Product C</t>
  </si>
  <si>
    <t>Product D</t>
  </si>
  <si>
    <t>channel</t>
  </si>
  <si>
    <t>Online</t>
  </si>
  <si>
    <t>Retail</t>
  </si>
  <si>
    <t>Wholesale</t>
  </si>
  <si>
    <t>Row Labels</t>
  </si>
  <si>
    <t>Grand Total</t>
  </si>
  <si>
    <t>Column Labels</t>
  </si>
  <si>
    <t>Sum of revenue</t>
  </si>
  <si>
    <t>(All)</t>
  </si>
  <si>
    <t>Sum of units</t>
  </si>
  <si>
    <t>Channel Performance</t>
  </si>
  <si>
    <t>Product x Region</t>
  </si>
  <si>
    <t>Product x Month</t>
  </si>
  <si>
    <t>Total Revenue</t>
  </si>
  <si>
    <t>Best Product</t>
  </si>
  <si>
    <t>Best Region</t>
  </si>
  <si>
    <t>YoY</t>
  </si>
  <si>
    <t>Revenue</t>
  </si>
  <si>
    <t>Helper Pivot - Product</t>
  </si>
  <si>
    <t>Helper Pivot - Region</t>
  </si>
  <si>
    <t>Helper Pivot - YoY</t>
  </si>
  <si>
    <t>Commercial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</si>
</sst>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8"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1"/>
      <color theme="0" tint="-0.499984740745262"/>
      <name val="Aptos Narrow"/>
      <family val="2"/>
      <scheme val="minor"/>
    </font>
    <font>
      <sz val="11"/>
      <color theme="0" tint="-0.499984740745262"/>
      <name val="Aptos Narrow"/>
      <family val="2"/>
      <scheme val="minor"/>
    </font>
    <font>
      <b/>
      <sz val="14"/>
      <color theme="0" tint="-0.499984740745262"/>
      <name val="Aptos Narrow"/>
      <family val="2"/>
      <scheme val="minor"/>
    </font>
    <font>
      <b/>
      <sz val="24"/>
      <color theme="1" tint="0.34998626667073579"/>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22">
    <xf numFmtId="0" fontId="0" fillId="0" borderId="0" xfId="0"/>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2" fillId="2" borderId="0" xfId="0" applyFont="1" applyFill="1"/>
    <xf numFmtId="0" fontId="0" fillId="2" borderId="0" xfId="0" applyFill="1"/>
    <xf numFmtId="0" fontId="1" fillId="2" borderId="0" xfId="0" applyFont="1" applyFill="1"/>
    <xf numFmtId="0" fontId="5" fillId="0" borderId="0" xfId="0" applyFont="1" applyFill="1" applyBorder="1" applyAlignment="1">
      <alignment horizontal="center"/>
    </xf>
    <xf numFmtId="0" fontId="0" fillId="0" borderId="0" xfId="0" applyFill="1" applyBorder="1" applyAlignment="1">
      <alignment horizontal="center"/>
    </xf>
    <xf numFmtId="0" fontId="7" fillId="0" borderId="1" xfId="0" applyFont="1" applyFill="1" applyBorder="1" applyAlignment="1">
      <alignment horizontal="center"/>
    </xf>
    <xf numFmtId="0" fontId="7" fillId="0" borderId="2" xfId="0" applyFont="1" applyFill="1" applyBorder="1" applyAlignment="1">
      <alignment horizontal="center"/>
    </xf>
    <xf numFmtId="0" fontId="7" fillId="0" borderId="3" xfId="0" applyFont="1" applyFill="1" applyBorder="1" applyAlignment="1">
      <alignment horizontal="center"/>
    </xf>
    <xf numFmtId="0" fontId="4" fillId="3" borderId="4" xfId="0" applyFont="1" applyFill="1" applyBorder="1" applyAlignment="1">
      <alignment horizontal="center"/>
    </xf>
    <xf numFmtId="3" fontId="3" fillId="3" borderId="5" xfId="0" applyNumberFormat="1"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3" fillId="3" borderId="8" xfId="0" applyFont="1" applyFill="1" applyBorder="1" applyAlignment="1">
      <alignment horizontal="center"/>
    </xf>
    <xf numFmtId="3" fontId="3" fillId="3" borderId="9" xfId="0" applyNumberFormat="1" applyFont="1" applyFill="1" applyBorder="1" applyAlignment="1">
      <alignment horizontal="center"/>
    </xf>
    <xf numFmtId="0" fontId="3" fillId="3" borderId="5" xfId="0" applyFont="1" applyFill="1" applyBorder="1" applyAlignment="1">
      <alignment horizontal="center"/>
    </xf>
    <xf numFmtId="165" fontId="6" fillId="3" borderId="5" xfId="0" applyNumberFormat="1" applyFont="1" applyFill="1" applyBorder="1" applyAlignment="1">
      <alignment horizontal="center"/>
    </xf>
  </cellXfs>
  <cellStyles count="1">
    <cellStyle name="Normal" xfId="0" builtinId="0"/>
  </cellStyles>
  <dxfs count="39">
    <dxf>
      <font>
        <color rgb="FF00B050"/>
      </font>
    </dxf>
    <dxf>
      <font>
        <color rgb="FFFF0000"/>
      </font>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font>
        <color rgb="FF00B050"/>
      </font>
    </dxf>
    <dxf>
      <numFmt numFmtId="3" formatCode="#,##0"/>
    </dxf>
    <dxf>
      <numFmt numFmtId="1" formatCode="0"/>
    </dxf>
    <dxf>
      <numFmt numFmtId="1" formatCode="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[dashboard.xlsx]Dashboard!PivotTable2</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Dashboard!$C$44:$C$45</c:f>
              <c:strCache>
                <c:ptCount val="1"/>
                <c:pt idx="0">
                  <c:v>Product 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Dashboard!$B$46:$B$85</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Dashboard!$C$46:$C$85</c:f>
              <c:numCache>
                <c:formatCode>General</c:formatCode>
                <c:ptCount val="36"/>
                <c:pt idx="0">
                  <c:v>698529.54679028108</c:v>
                </c:pt>
                <c:pt idx="1">
                  <c:v>741351.79310832312</c:v>
                </c:pt>
                <c:pt idx="2">
                  <c:v>794594.69541313197</c:v>
                </c:pt>
                <c:pt idx="3">
                  <c:v>909616.79886943626</c:v>
                </c:pt>
                <c:pt idx="4">
                  <c:v>910807.92126850435</c:v>
                </c:pt>
                <c:pt idx="5">
                  <c:v>907882.00279864692</c:v>
                </c:pt>
                <c:pt idx="6">
                  <c:v>643066.26639864314</c:v>
                </c:pt>
                <c:pt idx="7">
                  <c:v>709604.64606663922</c:v>
                </c:pt>
                <c:pt idx="8">
                  <c:v>731843.45507022925</c:v>
                </c:pt>
                <c:pt idx="9">
                  <c:v>753924.35137215862</c:v>
                </c:pt>
                <c:pt idx="10">
                  <c:v>930222.80307678576</c:v>
                </c:pt>
                <c:pt idx="11">
                  <c:v>912130.10705884243</c:v>
                </c:pt>
                <c:pt idx="12">
                  <c:v>725118.29329507856</c:v>
                </c:pt>
                <c:pt idx="13">
                  <c:v>782383.53437489143</c:v>
                </c:pt>
                <c:pt idx="14">
                  <c:v>731748.90432092757</c:v>
                </c:pt>
                <c:pt idx="15">
                  <c:v>962517.44711009297</c:v>
                </c:pt>
                <c:pt idx="16">
                  <c:v>860546.10883375001</c:v>
                </c:pt>
                <c:pt idx="17">
                  <c:v>881823.12965526455</c:v>
                </c:pt>
                <c:pt idx="18">
                  <c:v>775563.98622733785</c:v>
                </c:pt>
                <c:pt idx="19">
                  <c:v>905445.5385521549</c:v>
                </c:pt>
                <c:pt idx="20">
                  <c:v>707630.38923964847</c:v>
                </c:pt>
                <c:pt idx="21">
                  <c:v>901786.35473898519</c:v>
                </c:pt>
                <c:pt idx="22">
                  <c:v>983385.62032454042</c:v>
                </c:pt>
                <c:pt idx="23">
                  <c:v>912235.24925446836</c:v>
                </c:pt>
                <c:pt idx="24">
                  <c:v>780519.01786806737</c:v>
                </c:pt>
                <c:pt idx="25">
                  <c:v>695328.99407577445</c:v>
                </c:pt>
                <c:pt idx="26">
                  <c:v>826032.04239426402</c:v>
                </c:pt>
                <c:pt idx="27">
                  <c:v>976826.78219635424</c:v>
                </c:pt>
                <c:pt idx="28">
                  <c:v>934219.40837324038</c:v>
                </c:pt>
                <c:pt idx="29">
                  <c:v>925571.51798503473</c:v>
                </c:pt>
                <c:pt idx="30">
                  <c:v>828325.9814190875</c:v>
                </c:pt>
                <c:pt idx="31">
                  <c:v>701048.48797940055</c:v>
                </c:pt>
                <c:pt idx="32">
                  <c:v>775603.87840182846</c:v>
                </c:pt>
                <c:pt idx="33">
                  <c:v>955792.38313311851</c:v>
                </c:pt>
                <c:pt idx="34">
                  <c:v>825712.83437351522</c:v>
                </c:pt>
                <c:pt idx="35">
                  <c:v>864030.73891335144</c:v>
                </c:pt>
              </c:numCache>
            </c:numRef>
          </c:val>
          <c:smooth val="0"/>
          <c:extLst>
            <c:ext xmlns:c16="http://schemas.microsoft.com/office/drawing/2014/chart" uri="{C3380CC4-5D6E-409C-BE32-E72D297353CC}">
              <c16:uniqueId val="{00000000-D7F0-4E8B-B24E-981DF08ABB48}"/>
            </c:ext>
          </c:extLst>
        </c:ser>
        <c:ser>
          <c:idx val="1"/>
          <c:order val="1"/>
          <c:tx>
            <c:strRef>
              <c:f>Dashboard!$D$44:$D$45</c:f>
              <c:strCache>
                <c:ptCount val="1"/>
                <c:pt idx="0">
                  <c:v>Product 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Dashboard!$B$46:$B$85</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Dashboard!$D$46:$D$85</c:f>
              <c:numCache>
                <c:formatCode>General</c:formatCode>
                <c:ptCount val="36"/>
                <c:pt idx="0">
                  <c:v>471044.29945861554</c:v>
                </c:pt>
                <c:pt idx="1">
                  <c:v>462733.62183397461</c:v>
                </c:pt>
                <c:pt idx="2">
                  <c:v>432054.05235844373</c:v>
                </c:pt>
                <c:pt idx="3">
                  <c:v>531527.56490567501</c:v>
                </c:pt>
                <c:pt idx="4">
                  <c:v>593821.80918874766</c:v>
                </c:pt>
                <c:pt idx="5">
                  <c:v>479749.19159674854</c:v>
                </c:pt>
                <c:pt idx="6">
                  <c:v>440414.47948088206</c:v>
                </c:pt>
                <c:pt idx="7">
                  <c:v>497056.88554370403</c:v>
                </c:pt>
                <c:pt idx="8">
                  <c:v>444309.79810021352</c:v>
                </c:pt>
                <c:pt idx="9">
                  <c:v>553718.31818638952</c:v>
                </c:pt>
                <c:pt idx="10">
                  <c:v>497898.21371688228</c:v>
                </c:pt>
                <c:pt idx="11">
                  <c:v>442413.0550538227</c:v>
                </c:pt>
                <c:pt idx="12">
                  <c:v>451632.26761730493</c:v>
                </c:pt>
                <c:pt idx="13">
                  <c:v>453044.81951911841</c:v>
                </c:pt>
                <c:pt idx="14">
                  <c:v>476183.23724600498</c:v>
                </c:pt>
                <c:pt idx="15">
                  <c:v>502972.29051962961</c:v>
                </c:pt>
                <c:pt idx="16">
                  <c:v>565431.30943869252</c:v>
                </c:pt>
                <c:pt idx="17">
                  <c:v>641885.22840582137</c:v>
                </c:pt>
                <c:pt idx="18">
                  <c:v>447744.53434766468</c:v>
                </c:pt>
                <c:pt idx="19">
                  <c:v>487722.77134320786</c:v>
                </c:pt>
                <c:pt idx="20">
                  <c:v>463350.43217010709</c:v>
                </c:pt>
                <c:pt idx="21">
                  <c:v>518534.63890065922</c:v>
                </c:pt>
                <c:pt idx="22">
                  <c:v>531403.03055360354</c:v>
                </c:pt>
                <c:pt idx="23">
                  <c:v>542999.19402320602</c:v>
                </c:pt>
                <c:pt idx="24">
                  <c:v>473434.20924743655</c:v>
                </c:pt>
                <c:pt idx="25">
                  <c:v>441440.09559610591</c:v>
                </c:pt>
                <c:pt idx="26">
                  <c:v>430661.58981947595</c:v>
                </c:pt>
                <c:pt idx="27">
                  <c:v>487105.18808282632</c:v>
                </c:pt>
                <c:pt idx="28">
                  <c:v>567483.14710760489</c:v>
                </c:pt>
                <c:pt idx="29">
                  <c:v>555493.37907787075</c:v>
                </c:pt>
                <c:pt idx="30">
                  <c:v>448199.08792945382</c:v>
                </c:pt>
                <c:pt idx="31">
                  <c:v>433044.23981237959</c:v>
                </c:pt>
                <c:pt idx="32">
                  <c:v>512504.80066176679</c:v>
                </c:pt>
                <c:pt idx="33">
                  <c:v>544176.59752197668</c:v>
                </c:pt>
                <c:pt idx="34">
                  <c:v>458068.79954054108</c:v>
                </c:pt>
                <c:pt idx="35">
                  <c:v>502570.86521289952</c:v>
                </c:pt>
              </c:numCache>
            </c:numRef>
          </c:val>
          <c:smooth val="0"/>
          <c:extLst>
            <c:ext xmlns:c16="http://schemas.microsoft.com/office/drawing/2014/chart" uri="{C3380CC4-5D6E-409C-BE32-E72D297353CC}">
              <c16:uniqueId val="{00000005-D7F0-4E8B-B24E-981DF08ABB48}"/>
            </c:ext>
          </c:extLst>
        </c:ser>
        <c:ser>
          <c:idx val="2"/>
          <c:order val="2"/>
          <c:tx>
            <c:strRef>
              <c:f>Dashboard!$E$44:$E$45</c:f>
              <c:strCache>
                <c:ptCount val="1"/>
                <c:pt idx="0">
                  <c:v>Product 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Dashboard!$B$46:$B$85</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Dashboard!$E$46:$E$85</c:f>
              <c:numCache>
                <c:formatCode>General</c:formatCode>
                <c:ptCount val="36"/>
                <c:pt idx="0">
                  <c:v>303273.23994729103</c:v>
                </c:pt>
                <c:pt idx="1">
                  <c:v>310061.94716553262</c:v>
                </c:pt>
                <c:pt idx="2">
                  <c:v>264770.07971470396</c:v>
                </c:pt>
                <c:pt idx="3">
                  <c:v>344587.61289893178</c:v>
                </c:pt>
                <c:pt idx="4">
                  <c:v>377385.07431058394</c:v>
                </c:pt>
                <c:pt idx="5">
                  <c:v>322742.18892936059</c:v>
                </c:pt>
                <c:pt idx="6">
                  <c:v>286417.0465207987</c:v>
                </c:pt>
                <c:pt idx="7">
                  <c:v>308109.93516079965</c:v>
                </c:pt>
                <c:pt idx="8">
                  <c:v>301257.52243455121</c:v>
                </c:pt>
                <c:pt idx="9">
                  <c:v>299754.317344248</c:v>
                </c:pt>
                <c:pt idx="10">
                  <c:v>352597.39192083821</c:v>
                </c:pt>
                <c:pt idx="11">
                  <c:v>317259.31768813508</c:v>
                </c:pt>
                <c:pt idx="12">
                  <c:v>310744.22325377888</c:v>
                </c:pt>
                <c:pt idx="13">
                  <c:v>330506.41587483196</c:v>
                </c:pt>
                <c:pt idx="14">
                  <c:v>357406.82186664303</c:v>
                </c:pt>
                <c:pt idx="15">
                  <c:v>377615.378526669</c:v>
                </c:pt>
                <c:pt idx="16">
                  <c:v>333624.31130344298</c:v>
                </c:pt>
                <c:pt idx="17">
                  <c:v>371047.72143920179</c:v>
                </c:pt>
                <c:pt idx="18">
                  <c:v>348149.14495898661</c:v>
                </c:pt>
                <c:pt idx="19">
                  <c:v>288523.43607732235</c:v>
                </c:pt>
                <c:pt idx="20">
                  <c:v>325054.00513857021</c:v>
                </c:pt>
                <c:pt idx="21">
                  <c:v>351216.08219819871</c:v>
                </c:pt>
                <c:pt idx="22">
                  <c:v>357638.05948754237</c:v>
                </c:pt>
                <c:pt idx="23">
                  <c:v>350087.40660424228</c:v>
                </c:pt>
                <c:pt idx="24">
                  <c:v>369791.66893163207</c:v>
                </c:pt>
                <c:pt idx="25">
                  <c:v>372576.77367212588</c:v>
                </c:pt>
                <c:pt idx="26">
                  <c:v>332429.887858873</c:v>
                </c:pt>
                <c:pt idx="27">
                  <c:v>338219.86984348926</c:v>
                </c:pt>
                <c:pt idx="28">
                  <c:v>340693.46109158918</c:v>
                </c:pt>
                <c:pt idx="29">
                  <c:v>398183.04170178151</c:v>
                </c:pt>
                <c:pt idx="30">
                  <c:v>320687.92802517529</c:v>
                </c:pt>
                <c:pt idx="31">
                  <c:v>279926.4833273447</c:v>
                </c:pt>
                <c:pt idx="32">
                  <c:v>314761.79412061826</c:v>
                </c:pt>
                <c:pt idx="33">
                  <c:v>374393.05073435744</c:v>
                </c:pt>
                <c:pt idx="34">
                  <c:v>348479.94733771391</c:v>
                </c:pt>
                <c:pt idx="35">
                  <c:v>319885.57556556445</c:v>
                </c:pt>
              </c:numCache>
            </c:numRef>
          </c:val>
          <c:smooth val="0"/>
          <c:extLst>
            <c:ext xmlns:c16="http://schemas.microsoft.com/office/drawing/2014/chart" uri="{C3380CC4-5D6E-409C-BE32-E72D297353CC}">
              <c16:uniqueId val="{00000008-D7F0-4E8B-B24E-981DF08ABB48}"/>
            </c:ext>
          </c:extLst>
        </c:ser>
        <c:ser>
          <c:idx val="3"/>
          <c:order val="3"/>
          <c:tx>
            <c:strRef>
              <c:f>Dashboard!$F$44:$F$45</c:f>
              <c:strCache>
                <c:ptCount val="1"/>
                <c:pt idx="0">
                  <c:v>Product 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Dashboard!$B$46:$B$85</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Dashboard!$F$46:$F$85</c:f>
              <c:numCache>
                <c:formatCode>General</c:formatCode>
                <c:ptCount val="36"/>
                <c:pt idx="0">
                  <c:v>155552.07668544693</c:v>
                </c:pt>
                <c:pt idx="1">
                  <c:v>194637.57956448474</c:v>
                </c:pt>
                <c:pt idx="2">
                  <c:v>187795.43303800927</c:v>
                </c:pt>
                <c:pt idx="3">
                  <c:v>196844.61547577332</c:v>
                </c:pt>
                <c:pt idx="4">
                  <c:v>191303.38906188263</c:v>
                </c:pt>
                <c:pt idx="5">
                  <c:v>213438.23123937834</c:v>
                </c:pt>
                <c:pt idx="6">
                  <c:v>188985.50278442865</c:v>
                </c:pt>
                <c:pt idx="7">
                  <c:v>193203.5935506548</c:v>
                </c:pt>
                <c:pt idx="8">
                  <c:v>203374.93739605232</c:v>
                </c:pt>
                <c:pt idx="9">
                  <c:v>199004.04269038478</c:v>
                </c:pt>
                <c:pt idx="10">
                  <c:v>186664.95324734732</c:v>
                </c:pt>
                <c:pt idx="11">
                  <c:v>233787.91722230433</c:v>
                </c:pt>
                <c:pt idx="12">
                  <c:v>211812.96126443613</c:v>
                </c:pt>
                <c:pt idx="13">
                  <c:v>187791.27175214983</c:v>
                </c:pt>
                <c:pt idx="14">
                  <c:v>194085.79192111938</c:v>
                </c:pt>
                <c:pt idx="15">
                  <c:v>219516.28475623147</c:v>
                </c:pt>
                <c:pt idx="16">
                  <c:v>230155.50086506541</c:v>
                </c:pt>
                <c:pt idx="17">
                  <c:v>221396.29680238961</c:v>
                </c:pt>
                <c:pt idx="18">
                  <c:v>182706.26202964861</c:v>
                </c:pt>
                <c:pt idx="19">
                  <c:v>201428.01295702491</c:v>
                </c:pt>
                <c:pt idx="20">
                  <c:v>172695.14263031169</c:v>
                </c:pt>
                <c:pt idx="21">
                  <c:v>225748.80197294513</c:v>
                </c:pt>
                <c:pt idx="22">
                  <c:v>236587.07144422579</c:v>
                </c:pt>
                <c:pt idx="23">
                  <c:v>195161.79205521446</c:v>
                </c:pt>
                <c:pt idx="24">
                  <c:v>187296.92443514211</c:v>
                </c:pt>
                <c:pt idx="25">
                  <c:v>175941.80678937846</c:v>
                </c:pt>
                <c:pt idx="26">
                  <c:v>197804.8109763629</c:v>
                </c:pt>
                <c:pt idx="27">
                  <c:v>229442.71525903366</c:v>
                </c:pt>
                <c:pt idx="28">
                  <c:v>193667.05840681284</c:v>
                </c:pt>
                <c:pt idx="29">
                  <c:v>221385.11056268189</c:v>
                </c:pt>
                <c:pt idx="30">
                  <c:v>223079.19040445262</c:v>
                </c:pt>
                <c:pt idx="31">
                  <c:v>203082.21410524039</c:v>
                </c:pt>
                <c:pt idx="32">
                  <c:v>193693.29394112882</c:v>
                </c:pt>
                <c:pt idx="33">
                  <c:v>225059.70852840101</c:v>
                </c:pt>
                <c:pt idx="34">
                  <c:v>190922.31687703379</c:v>
                </c:pt>
                <c:pt idx="35">
                  <c:v>228270.67071979234</c:v>
                </c:pt>
              </c:numCache>
            </c:numRef>
          </c:val>
          <c:smooth val="0"/>
          <c:extLst>
            <c:ext xmlns:c16="http://schemas.microsoft.com/office/drawing/2014/chart" uri="{C3380CC4-5D6E-409C-BE32-E72D297353CC}">
              <c16:uniqueId val="{0000000B-D7F0-4E8B-B24E-981DF08ABB48}"/>
            </c:ext>
          </c:extLst>
        </c:ser>
        <c:dLbls>
          <c:showLegendKey val="0"/>
          <c:showVal val="0"/>
          <c:showCatName val="0"/>
          <c:showSerName val="0"/>
          <c:showPercent val="0"/>
          <c:showBubbleSize val="0"/>
        </c:dLbls>
        <c:marker val="1"/>
        <c:smooth val="0"/>
        <c:axId val="863297503"/>
        <c:axId val="863295103"/>
      </c:lineChart>
      <c:catAx>
        <c:axId val="86329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95103"/>
        <c:crosses val="autoZero"/>
        <c:auto val="1"/>
        <c:lblAlgn val="ctr"/>
        <c:lblOffset val="100"/>
        <c:noMultiLvlLbl val="0"/>
      </c:catAx>
      <c:valAx>
        <c:axId val="86329510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97503"/>
        <c:crosses val="autoZero"/>
        <c:crossBetween val="between"/>
      </c:valAx>
      <c:spPr>
        <a:noFill/>
        <a:ln>
          <a:noFill/>
        </a:ln>
        <a:effectLst/>
      </c:spPr>
    </c:plotArea>
    <c:legend>
      <c:legendPos val="r"/>
      <c:layout>
        <c:manualLayout>
          <c:xMode val="edge"/>
          <c:yMode val="edge"/>
          <c:x val="0.79677712160979886"/>
          <c:y val="4.6226669582968803E-2"/>
          <c:w val="0.15743140229834141"/>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150"/>
              <a:t>Revenue</a:t>
            </a:r>
            <a:r>
              <a:rPr lang="en-150" baseline="0"/>
              <a:t>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Dashboard!$J$11</c:f>
              <c:strCache>
                <c:ptCount val="1"/>
                <c:pt idx="0">
                  <c:v>Sum of revenue</c:v>
                </c:pt>
              </c:strCache>
            </c:strRef>
          </c:tx>
          <c:spPr>
            <a:solidFill>
              <a:schemeClr val="accent1"/>
            </a:solidFill>
            <a:ln>
              <a:noFill/>
            </a:ln>
            <a:effectLst/>
          </c:spPr>
          <c:invertIfNegative val="0"/>
          <c:cat>
            <c:strRef>
              <c:f>Dashboard!$I$12:$I$15</c:f>
              <c:strCache>
                <c:ptCount val="3"/>
                <c:pt idx="0">
                  <c:v>Online</c:v>
                </c:pt>
                <c:pt idx="1">
                  <c:v>Retail</c:v>
                </c:pt>
                <c:pt idx="2">
                  <c:v>Wholesale</c:v>
                </c:pt>
              </c:strCache>
            </c:strRef>
          </c:cat>
          <c:val>
            <c:numRef>
              <c:f>Dashboard!$J$12:$J$15</c:f>
              <c:numCache>
                <c:formatCode>#,##0</c:formatCode>
                <c:ptCount val="3"/>
                <c:pt idx="0">
                  <c:v>17255382.761580769</c:v>
                </c:pt>
                <c:pt idx="1">
                  <c:v>21662331.038025428</c:v>
                </c:pt>
                <c:pt idx="2">
                  <c:v>28022065.700232908</c:v>
                </c:pt>
              </c:numCache>
            </c:numRef>
          </c:val>
          <c:extLst>
            <c:ext xmlns:c16="http://schemas.microsoft.com/office/drawing/2014/chart" uri="{C3380CC4-5D6E-409C-BE32-E72D297353CC}">
              <c16:uniqueId val="{00000000-8214-4E10-B809-CBA182DAECD2}"/>
            </c:ext>
          </c:extLst>
        </c:ser>
        <c:ser>
          <c:idx val="1"/>
          <c:order val="1"/>
          <c:tx>
            <c:strRef>
              <c:f>Dashboard!$K$11</c:f>
              <c:strCache>
                <c:ptCount val="1"/>
                <c:pt idx="0">
                  <c:v>Sum of units</c:v>
                </c:pt>
              </c:strCache>
            </c:strRef>
          </c:tx>
          <c:spPr>
            <a:solidFill>
              <a:schemeClr val="accent2"/>
            </a:solidFill>
            <a:ln>
              <a:noFill/>
            </a:ln>
            <a:effectLst/>
          </c:spPr>
          <c:invertIfNegative val="0"/>
          <c:cat>
            <c:strRef>
              <c:f>Dashboard!$I$12:$I$15</c:f>
              <c:strCache>
                <c:ptCount val="3"/>
                <c:pt idx="0">
                  <c:v>Online</c:v>
                </c:pt>
                <c:pt idx="1">
                  <c:v>Retail</c:v>
                </c:pt>
                <c:pt idx="2">
                  <c:v>Wholesale</c:v>
                </c:pt>
              </c:strCache>
            </c:strRef>
          </c:cat>
          <c:val>
            <c:numRef>
              <c:f>Dashboard!$K$12:$K$15</c:f>
              <c:numCache>
                <c:formatCode>#,##0</c:formatCode>
                <c:ptCount val="3"/>
                <c:pt idx="0">
                  <c:v>419367</c:v>
                </c:pt>
                <c:pt idx="1">
                  <c:v>525714</c:v>
                </c:pt>
                <c:pt idx="2">
                  <c:v>682341</c:v>
                </c:pt>
              </c:numCache>
            </c:numRef>
          </c:val>
          <c:extLst>
            <c:ext xmlns:c16="http://schemas.microsoft.com/office/drawing/2014/chart" uri="{C3380CC4-5D6E-409C-BE32-E72D297353CC}">
              <c16:uniqueId val="{00000001-8214-4E10-B809-CBA182DAECD2}"/>
            </c:ext>
          </c:extLst>
        </c:ser>
        <c:dLbls>
          <c:showLegendKey val="0"/>
          <c:showVal val="0"/>
          <c:showCatName val="0"/>
          <c:showSerName val="0"/>
          <c:showPercent val="0"/>
          <c:showBubbleSize val="0"/>
        </c:dLbls>
        <c:gapWidth val="219"/>
        <c:overlap val="-27"/>
        <c:axId val="954941359"/>
        <c:axId val="954942319"/>
      </c:barChart>
      <c:catAx>
        <c:axId val="9549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42319"/>
        <c:crosses val="autoZero"/>
        <c:auto val="1"/>
        <c:lblAlgn val="ctr"/>
        <c:lblOffset val="100"/>
        <c:noMultiLvlLbl val="0"/>
      </c:catAx>
      <c:valAx>
        <c:axId val="9549423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41359"/>
        <c:crosses val="autoZero"/>
        <c:crossBetween val="between"/>
      </c:valAx>
      <c:spPr>
        <a:noFill/>
        <a:ln>
          <a:noFill/>
        </a:ln>
        <a:effectLst/>
      </c:spPr>
    </c:plotArea>
    <c:legend>
      <c:legendPos val="r"/>
      <c:layout>
        <c:manualLayout>
          <c:xMode val="edge"/>
          <c:yMode val="edge"/>
          <c:x val="0.78085629921259836"/>
          <c:y val="4.1227398658501002E-2"/>
          <c:w val="0.2024770341207349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60960</xdr:colOff>
      <xdr:row>21</xdr:row>
      <xdr:rowOff>3810</xdr:rowOff>
    </xdr:from>
    <xdr:to>
      <xdr:col>6</xdr:col>
      <xdr:colOff>662940</xdr:colOff>
      <xdr:row>36</xdr:row>
      <xdr:rowOff>3810</xdr:rowOff>
    </xdr:to>
    <xdr:graphicFrame macro="">
      <xdr:nvGraphicFramePr>
        <xdr:cNvPr id="2" name="Chart 1">
          <a:extLst>
            <a:ext uri="{FF2B5EF4-FFF2-40B4-BE49-F238E27FC236}">
              <a16:creationId xmlns:a16="http://schemas.microsoft.com/office/drawing/2014/main" id="{7D9F70A5-818F-74E7-415E-6F88F3F62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20</xdr:row>
      <xdr:rowOff>179070</xdr:rowOff>
    </xdr:from>
    <xdr:to>
      <xdr:col>13</xdr:col>
      <xdr:colOff>342900</xdr:colOff>
      <xdr:row>35</xdr:row>
      <xdr:rowOff>179070</xdr:rowOff>
    </xdr:to>
    <xdr:graphicFrame macro="">
      <xdr:nvGraphicFramePr>
        <xdr:cNvPr id="3" name="Chart 2">
          <a:extLst>
            <a:ext uri="{FF2B5EF4-FFF2-40B4-BE49-F238E27FC236}">
              <a16:creationId xmlns:a16="http://schemas.microsoft.com/office/drawing/2014/main" id="{85D1A42C-D772-6B63-EE9F-3DC2DD4CB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60960</xdr:colOff>
      <xdr:row>3</xdr:row>
      <xdr:rowOff>76201</xdr:rowOff>
    </xdr:from>
    <xdr:to>
      <xdr:col>4</xdr:col>
      <xdr:colOff>914400</xdr:colOff>
      <xdr:row>6</xdr:row>
      <xdr:rowOff>175260</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273DD983-2A0F-F264-E608-411F1F39F3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4320" y="838201"/>
              <a:ext cx="381762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xdr:colOff>
      <xdr:row>3</xdr:row>
      <xdr:rowOff>68581</xdr:rowOff>
    </xdr:from>
    <xdr:to>
      <xdr:col>8</xdr:col>
      <xdr:colOff>815340</xdr:colOff>
      <xdr:row>6</xdr:row>
      <xdr:rowOff>175260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A7657177-AF49-D563-3587-408E487F2A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35780" y="830581"/>
              <a:ext cx="305562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3</xdr:row>
      <xdr:rowOff>60961</xdr:rowOff>
    </xdr:from>
    <xdr:to>
      <xdr:col>11</xdr:col>
      <xdr:colOff>114300</xdr:colOff>
      <xdr:row>6</xdr:row>
      <xdr:rowOff>152400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F8F2E973-EBB5-4E4B-462C-4AAA43D90C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513320" y="822961"/>
              <a:ext cx="172974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3</xdr:row>
      <xdr:rowOff>45720</xdr:rowOff>
    </xdr:from>
    <xdr:to>
      <xdr:col>14</xdr:col>
      <xdr:colOff>22860</xdr:colOff>
      <xdr:row>6</xdr:row>
      <xdr:rowOff>160019</xdr:rowOff>
    </xdr:to>
    <mc:AlternateContent xmlns:mc="http://schemas.openxmlformats.org/markup-compatibility/2006">
      <mc:Choice xmlns:a14="http://schemas.microsoft.com/office/drawing/2010/main" Requires="a14">
        <xdr:graphicFrame macro="">
          <xdr:nvGraphicFramePr>
            <xdr:cNvPr id="7" name="channel">
              <a:extLst>
                <a:ext uri="{FF2B5EF4-FFF2-40B4-BE49-F238E27FC236}">
                  <a16:creationId xmlns:a16="http://schemas.microsoft.com/office/drawing/2014/main" id="{EA92E778-4FAC-D9FD-E135-FEBFC4AEB3CE}"/>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319260" y="807720"/>
              <a:ext cx="2468880" cy="662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oannis Dogaris" refreshedDate="46145.678495370368" createdVersion="8" refreshedVersion="8" minRefreshableVersion="3" recordCount="576" xr:uid="{D09E2E10-1145-44FD-A778-14EED2DE75CD}">
  <cacheSource type="worksheet">
    <worksheetSource name="by_product_region_month"/>
  </cacheSource>
  <cacheFields count="6">
    <cacheField name="product" numFmtId="0">
      <sharedItems count="4">
        <s v="Product A"/>
        <s v="Product B"/>
        <s v="Product C"/>
        <s v="Product D"/>
      </sharedItems>
    </cacheField>
    <cacheField name="region" numFmtId="0">
      <sharedItems count="4">
        <s v="East"/>
        <s v="North"/>
        <s v="South"/>
        <s v="West"/>
      </sharedItems>
    </cacheField>
    <cacheField name="year" numFmtId="0">
      <sharedItems containsSemiMixedTypes="0" containsString="0" containsNumber="1" containsInteger="1" minValue="2022" maxValue="2024" count="3">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revenue" numFmtId="0">
      <sharedItems containsSemiMixedTypes="0" containsString="0" containsNumber="1" minValue="25370.889060597601" maxValue="349397.53283478506"/>
    </cacheField>
    <cacheField name="units" numFmtId="0">
      <sharedItems containsSemiMixedTypes="0" containsString="0" containsNumber="1" containsInteger="1" minValue="848" maxValue="6985"/>
    </cacheField>
  </cacheFields>
  <extLst>
    <ext xmlns:x14="http://schemas.microsoft.com/office/spreadsheetml/2009/9/main" uri="{725AE2AE-9491-48be-B2B4-4EB974FC3084}">
      <x14:pivotCacheDefinition pivotCacheId="10342361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oannis Dogaris" refreshedDate="46145.689307291665" createdVersion="8" refreshedVersion="8" minRefreshableVersion="3" recordCount="108" xr:uid="{1CFBD9EC-C542-4F38-A603-76B6BAE3373F}">
  <cacheSource type="worksheet">
    <worksheetSource name="by_channel"/>
  </cacheSource>
  <cacheFields count="5">
    <cacheField name="channel" numFmtId="0">
      <sharedItems count="3">
        <s v="Online"/>
        <s v="Retail"/>
        <s v="Wholesale"/>
      </sharedItems>
    </cacheField>
    <cacheField name="year" numFmtId="0">
      <sharedItems containsSemiMixedTypes="0" containsString="0" containsNumber="1" containsInteger="1" minValue="2022" maxValue="2024" count="3">
        <n v="2022"/>
        <n v="2023"/>
        <n v="2024"/>
      </sharedItems>
    </cacheField>
    <cacheField name="month" numFmtId="0">
      <sharedItems containsSemiMixedTypes="0" containsString="0" containsNumber="1" containsInteger="1" minValue="1" maxValue="12"/>
    </cacheField>
    <cacheField name="revenue" numFmtId="0">
      <sharedItems containsSemiMixedTypes="0" containsString="0" containsNumber="1" minValue="396407.29330760997" maxValue="1010964.7552160099"/>
    </cacheField>
    <cacheField name="units" numFmtId="0">
      <sharedItems containsSemiMixedTypes="0" containsString="0" containsNumber="1" containsInteger="1" minValue="9721" maxValue="24205"/>
    </cacheField>
  </cacheFields>
  <extLst>
    <ext xmlns:x14="http://schemas.microsoft.com/office/spreadsheetml/2009/9/main" uri="{725AE2AE-9491-48be-B2B4-4EB974FC3084}">
      <x14:pivotCacheDefinition pivotCacheId="1584152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6">
  <r>
    <x v="0"/>
    <x v="0"/>
    <x v="0"/>
    <x v="0"/>
    <n v="181677.56585415459"/>
    <n v="3615"/>
  </r>
  <r>
    <x v="0"/>
    <x v="0"/>
    <x v="0"/>
    <x v="1"/>
    <n v="259740.53601633082"/>
    <n v="5284"/>
  </r>
  <r>
    <x v="0"/>
    <x v="0"/>
    <x v="0"/>
    <x v="2"/>
    <n v="176988.1766129192"/>
    <n v="3563"/>
  </r>
  <r>
    <x v="0"/>
    <x v="0"/>
    <x v="0"/>
    <x v="3"/>
    <n v="260083.32735567121"/>
    <n v="5371"/>
  </r>
  <r>
    <x v="0"/>
    <x v="0"/>
    <x v="0"/>
    <x v="4"/>
    <n v="242574.22542050949"/>
    <n v="4816"/>
  </r>
  <r>
    <x v="0"/>
    <x v="0"/>
    <x v="0"/>
    <x v="5"/>
    <n v="213668.0411792348"/>
    <n v="4269"/>
  </r>
  <r>
    <x v="0"/>
    <x v="0"/>
    <x v="0"/>
    <x v="6"/>
    <n v="194480.56871561019"/>
    <n v="3779"/>
  </r>
  <r>
    <x v="0"/>
    <x v="0"/>
    <x v="0"/>
    <x v="7"/>
    <n v="163423.38124994191"/>
    <n v="3230"/>
  </r>
  <r>
    <x v="0"/>
    <x v="0"/>
    <x v="0"/>
    <x v="8"/>
    <n v="231972.65948027381"/>
    <n v="4541"/>
  </r>
  <r>
    <x v="0"/>
    <x v="0"/>
    <x v="0"/>
    <x v="9"/>
    <n v="199267.7238124678"/>
    <n v="4075"/>
  </r>
  <r>
    <x v="0"/>
    <x v="0"/>
    <x v="0"/>
    <x v="10"/>
    <n v="281692.89637871983"/>
    <n v="5752"/>
  </r>
  <r>
    <x v="0"/>
    <x v="0"/>
    <x v="0"/>
    <x v="11"/>
    <n v="293426.33496811043"/>
    <n v="5688"/>
  </r>
  <r>
    <x v="0"/>
    <x v="0"/>
    <x v="1"/>
    <x v="0"/>
    <n v="215445.81771992921"/>
    <n v="4255"/>
  </r>
  <r>
    <x v="0"/>
    <x v="0"/>
    <x v="1"/>
    <x v="1"/>
    <n v="241201.79535987071"/>
    <n v="4880"/>
  </r>
  <r>
    <x v="0"/>
    <x v="0"/>
    <x v="1"/>
    <x v="2"/>
    <n v="188913.29674027511"/>
    <n v="3791"/>
  </r>
  <r>
    <x v="0"/>
    <x v="0"/>
    <x v="1"/>
    <x v="3"/>
    <n v="217348.33900091841"/>
    <n v="4357"/>
  </r>
  <r>
    <x v="0"/>
    <x v="0"/>
    <x v="1"/>
    <x v="4"/>
    <n v="250455.30762356939"/>
    <n v="4938"/>
  </r>
  <r>
    <x v="0"/>
    <x v="0"/>
    <x v="1"/>
    <x v="5"/>
    <n v="259659.2421693333"/>
    <n v="5144"/>
  </r>
  <r>
    <x v="0"/>
    <x v="0"/>
    <x v="1"/>
    <x v="6"/>
    <n v="183427.3257737142"/>
    <n v="3723"/>
  </r>
  <r>
    <x v="0"/>
    <x v="0"/>
    <x v="1"/>
    <x v="7"/>
    <n v="227362.06695112982"/>
    <n v="4549"/>
  </r>
  <r>
    <x v="0"/>
    <x v="0"/>
    <x v="1"/>
    <x v="8"/>
    <n v="214979.39065264069"/>
    <n v="4232"/>
  </r>
  <r>
    <x v="0"/>
    <x v="0"/>
    <x v="1"/>
    <x v="9"/>
    <n v="298264.27585013339"/>
    <n v="5787"/>
  </r>
  <r>
    <x v="0"/>
    <x v="0"/>
    <x v="1"/>
    <x v="10"/>
    <n v="235313.14402240788"/>
    <n v="4894"/>
  </r>
  <r>
    <x v="0"/>
    <x v="0"/>
    <x v="1"/>
    <x v="11"/>
    <n v="244622.67262064791"/>
    <n v="4828"/>
  </r>
  <r>
    <x v="0"/>
    <x v="0"/>
    <x v="2"/>
    <x v="0"/>
    <n v="177197.89796409191"/>
    <n v="3548"/>
  </r>
  <r>
    <x v="0"/>
    <x v="0"/>
    <x v="2"/>
    <x v="1"/>
    <n v="188874.32438656909"/>
    <n v="3847"/>
  </r>
  <r>
    <x v="0"/>
    <x v="0"/>
    <x v="2"/>
    <x v="2"/>
    <n v="180811.1429454351"/>
    <n v="3646"/>
  </r>
  <r>
    <x v="0"/>
    <x v="0"/>
    <x v="2"/>
    <x v="3"/>
    <n v="274667.61010190821"/>
    <n v="5460"/>
  </r>
  <r>
    <x v="0"/>
    <x v="0"/>
    <x v="2"/>
    <x v="4"/>
    <n v="216807.3261823878"/>
    <n v="4396"/>
  </r>
  <r>
    <x v="0"/>
    <x v="0"/>
    <x v="2"/>
    <x v="5"/>
    <n v="227758.1924218777"/>
    <n v="4580"/>
  </r>
  <r>
    <x v="0"/>
    <x v="0"/>
    <x v="2"/>
    <x v="6"/>
    <n v="230877.00882914118"/>
    <n v="4753"/>
  </r>
  <r>
    <x v="0"/>
    <x v="0"/>
    <x v="2"/>
    <x v="7"/>
    <n v="187627.51160696492"/>
    <n v="3759"/>
  </r>
  <r>
    <x v="0"/>
    <x v="0"/>
    <x v="2"/>
    <x v="8"/>
    <n v="196134.1827791463"/>
    <n v="3860"/>
  </r>
  <r>
    <x v="0"/>
    <x v="0"/>
    <x v="2"/>
    <x v="9"/>
    <n v="243289.48767565421"/>
    <n v="4855"/>
  </r>
  <r>
    <x v="0"/>
    <x v="0"/>
    <x v="2"/>
    <x v="10"/>
    <n v="175950.94693867961"/>
    <n v="3529"/>
  </r>
  <r>
    <x v="0"/>
    <x v="0"/>
    <x v="2"/>
    <x v="11"/>
    <n v="211130.89497765992"/>
    <n v="4210"/>
  </r>
  <r>
    <x v="0"/>
    <x v="1"/>
    <x v="0"/>
    <x v="0"/>
    <n v="231361.43331923141"/>
    <n v="4785"/>
  </r>
  <r>
    <x v="0"/>
    <x v="1"/>
    <x v="0"/>
    <x v="1"/>
    <n v="223222.42875380319"/>
    <n v="4502"/>
  </r>
  <r>
    <x v="0"/>
    <x v="1"/>
    <x v="0"/>
    <x v="2"/>
    <n v="285659.45950262318"/>
    <n v="5606"/>
  </r>
  <r>
    <x v="0"/>
    <x v="1"/>
    <x v="0"/>
    <x v="3"/>
    <n v="261812.42156352272"/>
    <n v="5283"/>
  </r>
  <r>
    <x v="0"/>
    <x v="1"/>
    <x v="0"/>
    <x v="4"/>
    <n v="255868.61376091369"/>
    <n v="4975"/>
  </r>
  <r>
    <x v="0"/>
    <x v="1"/>
    <x v="0"/>
    <x v="5"/>
    <n v="317871.42388270929"/>
    <n v="6235"/>
  </r>
  <r>
    <x v="0"/>
    <x v="1"/>
    <x v="0"/>
    <x v="6"/>
    <n v="197318.6726783285"/>
    <n v="3935"/>
  </r>
  <r>
    <x v="0"/>
    <x v="1"/>
    <x v="0"/>
    <x v="7"/>
    <n v="199218.37536578422"/>
    <n v="3956"/>
  </r>
  <r>
    <x v="0"/>
    <x v="1"/>
    <x v="0"/>
    <x v="8"/>
    <n v="215868.65789982228"/>
    <n v="4330"/>
  </r>
  <r>
    <x v="0"/>
    <x v="1"/>
    <x v="0"/>
    <x v="9"/>
    <n v="233950.52553702838"/>
    <n v="4632"/>
  </r>
  <r>
    <x v="0"/>
    <x v="1"/>
    <x v="0"/>
    <x v="10"/>
    <n v="288219.25523284462"/>
    <n v="5739"/>
  </r>
  <r>
    <x v="0"/>
    <x v="1"/>
    <x v="0"/>
    <x v="11"/>
    <n v="250342.2799427404"/>
    <n v="4936"/>
  </r>
  <r>
    <x v="0"/>
    <x v="1"/>
    <x v="1"/>
    <x v="0"/>
    <n v="234699.07763864612"/>
    <n v="4680"/>
  </r>
  <r>
    <x v="0"/>
    <x v="1"/>
    <x v="1"/>
    <x v="1"/>
    <n v="173460.34406187589"/>
    <n v="3576"/>
  </r>
  <r>
    <x v="0"/>
    <x v="1"/>
    <x v="1"/>
    <x v="2"/>
    <n v="204835.71417552099"/>
    <n v="4030"/>
  </r>
  <r>
    <x v="0"/>
    <x v="1"/>
    <x v="1"/>
    <x v="3"/>
    <n v="349397.53283478506"/>
    <n v="6985"/>
  </r>
  <r>
    <x v="0"/>
    <x v="1"/>
    <x v="1"/>
    <x v="4"/>
    <n v="269259.39085924253"/>
    <n v="5316"/>
  </r>
  <r>
    <x v="0"/>
    <x v="1"/>
    <x v="1"/>
    <x v="5"/>
    <n v="286223.57025738631"/>
    <n v="5641"/>
  </r>
  <r>
    <x v="0"/>
    <x v="1"/>
    <x v="1"/>
    <x v="6"/>
    <n v="260909.76495494152"/>
    <n v="5362"/>
  </r>
  <r>
    <x v="0"/>
    <x v="1"/>
    <x v="1"/>
    <x v="7"/>
    <n v="258384.95447061691"/>
    <n v="5035"/>
  </r>
  <r>
    <x v="0"/>
    <x v="1"/>
    <x v="1"/>
    <x v="8"/>
    <n v="191855.4930196552"/>
    <n v="3917"/>
  </r>
  <r>
    <x v="0"/>
    <x v="1"/>
    <x v="1"/>
    <x v="9"/>
    <n v="237384.96488858951"/>
    <n v="4710"/>
  </r>
  <r>
    <x v="0"/>
    <x v="1"/>
    <x v="1"/>
    <x v="10"/>
    <n v="264458.48278797342"/>
    <n v="5267"/>
  </r>
  <r>
    <x v="0"/>
    <x v="1"/>
    <x v="1"/>
    <x v="11"/>
    <n v="318608.28728763643"/>
    <n v="6240"/>
  </r>
  <r>
    <x v="0"/>
    <x v="1"/>
    <x v="2"/>
    <x v="0"/>
    <n v="239634.6369221597"/>
    <n v="4678"/>
  </r>
  <r>
    <x v="0"/>
    <x v="1"/>
    <x v="2"/>
    <x v="1"/>
    <n v="210175.8063043828"/>
    <n v="4256"/>
  </r>
  <r>
    <x v="0"/>
    <x v="1"/>
    <x v="2"/>
    <x v="2"/>
    <n v="219894.68454687617"/>
    <n v="4444"/>
  </r>
  <r>
    <x v="0"/>
    <x v="1"/>
    <x v="2"/>
    <x v="3"/>
    <n v="240961.28246018779"/>
    <n v="4761"/>
  </r>
  <r>
    <x v="0"/>
    <x v="1"/>
    <x v="2"/>
    <x v="4"/>
    <n v="275677.78378436371"/>
    <n v="5514"/>
  </r>
  <r>
    <x v="0"/>
    <x v="1"/>
    <x v="2"/>
    <x v="5"/>
    <n v="284278.89936981251"/>
    <n v="5796"/>
  </r>
  <r>
    <x v="0"/>
    <x v="1"/>
    <x v="2"/>
    <x v="6"/>
    <n v="241694.48071703661"/>
    <n v="4836"/>
  </r>
  <r>
    <x v="0"/>
    <x v="1"/>
    <x v="2"/>
    <x v="7"/>
    <n v="212411.86488813249"/>
    <n v="4172"/>
  </r>
  <r>
    <x v="0"/>
    <x v="1"/>
    <x v="2"/>
    <x v="8"/>
    <n v="276556.72719041799"/>
    <n v="5541"/>
  </r>
  <r>
    <x v="0"/>
    <x v="1"/>
    <x v="2"/>
    <x v="9"/>
    <n v="313338.43386062729"/>
    <n v="6334"/>
  </r>
  <r>
    <x v="0"/>
    <x v="1"/>
    <x v="2"/>
    <x v="10"/>
    <n v="257110.16838819999"/>
    <n v="5262"/>
  </r>
  <r>
    <x v="0"/>
    <x v="1"/>
    <x v="2"/>
    <x v="11"/>
    <n v="257201.6317404524"/>
    <n v="5226"/>
  </r>
  <r>
    <x v="0"/>
    <x v="2"/>
    <x v="0"/>
    <x v="0"/>
    <n v="113088.3739869343"/>
    <n v="2265"/>
  </r>
  <r>
    <x v="0"/>
    <x v="2"/>
    <x v="0"/>
    <x v="1"/>
    <n v="104200.7805313962"/>
    <n v="2057"/>
  </r>
  <r>
    <x v="0"/>
    <x v="2"/>
    <x v="0"/>
    <x v="2"/>
    <n v="123952.19423101049"/>
    <n v="2464"/>
  </r>
  <r>
    <x v="0"/>
    <x v="2"/>
    <x v="0"/>
    <x v="3"/>
    <n v="163385.0569726667"/>
    <n v="3280"/>
  </r>
  <r>
    <x v="0"/>
    <x v="2"/>
    <x v="0"/>
    <x v="4"/>
    <n v="177122.39756043188"/>
    <n v="3489"/>
  </r>
  <r>
    <x v="0"/>
    <x v="2"/>
    <x v="0"/>
    <x v="5"/>
    <n v="138744.3291713483"/>
    <n v="2722"/>
  </r>
  <r>
    <x v="0"/>
    <x v="2"/>
    <x v="0"/>
    <x v="6"/>
    <n v="133718.7119086762"/>
    <n v="2663"/>
  </r>
  <r>
    <x v="0"/>
    <x v="2"/>
    <x v="0"/>
    <x v="7"/>
    <n v="150388.91376649259"/>
    <n v="2978"/>
  </r>
  <r>
    <x v="0"/>
    <x v="2"/>
    <x v="0"/>
    <x v="8"/>
    <n v="136494.30447047472"/>
    <n v="2752"/>
  </r>
  <r>
    <x v="0"/>
    <x v="2"/>
    <x v="0"/>
    <x v="9"/>
    <n v="157094.5773390086"/>
    <n v="3161"/>
  </r>
  <r>
    <x v="0"/>
    <x v="2"/>
    <x v="0"/>
    <x v="10"/>
    <n v="148093.74219006859"/>
    <n v="3012"/>
  </r>
  <r>
    <x v="0"/>
    <x v="2"/>
    <x v="0"/>
    <x v="11"/>
    <n v="155655.24662552401"/>
    <n v="3117"/>
  </r>
  <r>
    <x v="0"/>
    <x v="2"/>
    <x v="1"/>
    <x v="0"/>
    <n v="114479.4097853987"/>
    <n v="2324"/>
  </r>
  <r>
    <x v="0"/>
    <x v="2"/>
    <x v="1"/>
    <x v="1"/>
    <n v="143740.7243963017"/>
    <n v="2922"/>
  </r>
  <r>
    <x v="0"/>
    <x v="2"/>
    <x v="1"/>
    <x v="2"/>
    <n v="171838.61954700091"/>
    <n v="3401"/>
  </r>
  <r>
    <x v="0"/>
    <x v="2"/>
    <x v="1"/>
    <x v="3"/>
    <n v="151862.82482870511"/>
    <n v="2999"/>
  </r>
  <r>
    <x v="0"/>
    <x v="2"/>
    <x v="1"/>
    <x v="4"/>
    <n v="189061.60290338099"/>
    <n v="3840"/>
  </r>
  <r>
    <x v="0"/>
    <x v="2"/>
    <x v="1"/>
    <x v="5"/>
    <n v="135636.88448121189"/>
    <n v="2669"/>
  </r>
  <r>
    <x v="0"/>
    <x v="2"/>
    <x v="1"/>
    <x v="6"/>
    <n v="117506.5985005511"/>
    <n v="2363"/>
  </r>
  <r>
    <x v="0"/>
    <x v="2"/>
    <x v="1"/>
    <x v="7"/>
    <n v="211194.69103565882"/>
    <n v="4204"/>
  </r>
  <r>
    <x v="0"/>
    <x v="2"/>
    <x v="1"/>
    <x v="8"/>
    <n v="135125.87275068861"/>
    <n v="2633"/>
  </r>
  <r>
    <x v="0"/>
    <x v="2"/>
    <x v="1"/>
    <x v="9"/>
    <n v="149028.39434935359"/>
    <n v="2901"/>
  </r>
  <r>
    <x v="0"/>
    <x v="2"/>
    <x v="1"/>
    <x v="10"/>
    <n v="214994.21017072629"/>
    <n v="4345"/>
  </r>
  <r>
    <x v="0"/>
    <x v="2"/>
    <x v="1"/>
    <x v="11"/>
    <n v="157566.6183153842"/>
    <n v="3216"/>
  </r>
  <r>
    <x v="0"/>
    <x v="2"/>
    <x v="2"/>
    <x v="0"/>
    <n v="139999.46564324439"/>
    <n v="2798"/>
  </r>
  <r>
    <x v="0"/>
    <x v="2"/>
    <x v="2"/>
    <x v="1"/>
    <n v="107126.6179480904"/>
    <n v="2121"/>
  </r>
  <r>
    <x v="0"/>
    <x v="2"/>
    <x v="2"/>
    <x v="2"/>
    <n v="210589.18488052441"/>
    <n v="4176"/>
  </r>
  <r>
    <x v="0"/>
    <x v="2"/>
    <x v="2"/>
    <x v="3"/>
    <n v="251082.82709545339"/>
    <n v="4976"/>
  </r>
  <r>
    <x v="0"/>
    <x v="2"/>
    <x v="2"/>
    <x v="4"/>
    <n v="201137.31093835778"/>
    <n v="3992"/>
  </r>
  <r>
    <x v="0"/>
    <x v="2"/>
    <x v="2"/>
    <x v="5"/>
    <n v="219971.83577556862"/>
    <n v="4404"/>
  </r>
  <r>
    <x v="0"/>
    <x v="2"/>
    <x v="2"/>
    <x v="6"/>
    <n v="169948.44780717741"/>
    <n v="3457"/>
  </r>
  <r>
    <x v="0"/>
    <x v="2"/>
    <x v="2"/>
    <x v="7"/>
    <n v="121224.04220336929"/>
    <n v="2417"/>
  </r>
  <r>
    <x v="0"/>
    <x v="2"/>
    <x v="2"/>
    <x v="8"/>
    <n v="144888.81494843401"/>
    <n v="2867"/>
  </r>
  <r>
    <x v="0"/>
    <x v="2"/>
    <x v="2"/>
    <x v="9"/>
    <n v="138799.7855048324"/>
    <n v="2815"/>
  </r>
  <r>
    <x v="0"/>
    <x v="2"/>
    <x v="2"/>
    <x v="10"/>
    <n v="152701.2085880315"/>
    <n v="3019"/>
  </r>
  <r>
    <x v="0"/>
    <x v="2"/>
    <x v="2"/>
    <x v="11"/>
    <n v="166268.49840417161"/>
    <n v="3259"/>
  </r>
  <r>
    <x v="0"/>
    <x v="3"/>
    <x v="0"/>
    <x v="0"/>
    <n v="172402.17362996069"/>
    <n v="3341"/>
  </r>
  <r>
    <x v="0"/>
    <x v="3"/>
    <x v="0"/>
    <x v="1"/>
    <n v="154188.04780679289"/>
    <n v="3129"/>
  </r>
  <r>
    <x v="0"/>
    <x v="3"/>
    <x v="0"/>
    <x v="2"/>
    <n v="207994.86506657911"/>
    <n v="4015"/>
  </r>
  <r>
    <x v="0"/>
    <x v="3"/>
    <x v="0"/>
    <x v="3"/>
    <n v="224335.9929775756"/>
    <n v="4421"/>
  </r>
  <r>
    <x v="0"/>
    <x v="3"/>
    <x v="0"/>
    <x v="4"/>
    <n v="235242.6845266493"/>
    <n v="4786"/>
  </r>
  <r>
    <x v="0"/>
    <x v="3"/>
    <x v="0"/>
    <x v="5"/>
    <n v="237598.20856535458"/>
    <n v="4725"/>
  </r>
  <r>
    <x v="0"/>
    <x v="3"/>
    <x v="0"/>
    <x v="6"/>
    <n v="117548.31309602829"/>
    <n v="2300"/>
  </r>
  <r>
    <x v="0"/>
    <x v="3"/>
    <x v="0"/>
    <x v="7"/>
    <n v="196573.97568442041"/>
    <n v="3907"/>
  </r>
  <r>
    <x v="0"/>
    <x v="3"/>
    <x v="0"/>
    <x v="8"/>
    <n v="147507.83321965841"/>
    <n v="3033"/>
  </r>
  <r>
    <x v="0"/>
    <x v="3"/>
    <x v="0"/>
    <x v="9"/>
    <n v="163611.5246836539"/>
    <n v="3273"/>
  </r>
  <r>
    <x v="0"/>
    <x v="3"/>
    <x v="0"/>
    <x v="10"/>
    <n v="212216.90927515272"/>
    <n v="4173"/>
  </r>
  <r>
    <x v="0"/>
    <x v="3"/>
    <x v="0"/>
    <x v="11"/>
    <n v="212706.24552246771"/>
    <n v="4338"/>
  </r>
  <r>
    <x v="0"/>
    <x v="3"/>
    <x v="1"/>
    <x v="0"/>
    <n v="160493.98815110451"/>
    <n v="3154"/>
  </r>
  <r>
    <x v="0"/>
    <x v="3"/>
    <x v="1"/>
    <x v="1"/>
    <n v="223980.67055684319"/>
    <n v="4422"/>
  </r>
  <r>
    <x v="0"/>
    <x v="3"/>
    <x v="1"/>
    <x v="2"/>
    <n v="166161.2738581305"/>
    <n v="3368"/>
  </r>
  <r>
    <x v="0"/>
    <x v="3"/>
    <x v="1"/>
    <x v="3"/>
    <n v="243908.75044568442"/>
    <n v="5001"/>
  </r>
  <r>
    <x v="0"/>
    <x v="3"/>
    <x v="1"/>
    <x v="4"/>
    <n v="151769.8074475571"/>
    <n v="3045"/>
  </r>
  <r>
    <x v="0"/>
    <x v="3"/>
    <x v="1"/>
    <x v="5"/>
    <n v="200303.43274733311"/>
    <n v="3975"/>
  </r>
  <r>
    <x v="0"/>
    <x v="3"/>
    <x v="1"/>
    <x v="6"/>
    <n v="213720.29699813109"/>
    <n v="4329"/>
  </r>
  <r>
    <x v="0"/>
    <x v="3"/>
    <x v="1"/>
    <x v="7"/>
    <n v="208503.82609474941"/>
    <n v="4066"/>
  </r>
  <r>
    <x v="0"/>
    <x v="3"/>
    <x v="1"/>
    <x v="8"/>
    <n v="165669.63281666391"/>
    <n v="3266"/>
  </r>
  <r>
    <x v="0"/>
    <x v="3"/>
    <x v="1"/>
    <x v="9"/>
    <n v="217108.71965090861"/>
    <n v="4281"/>
  </r>
  <r>
    <x v="0"/>
    <x v="3"/>
    <x v="1"/>
    <x v="10"/>
    <n v="268619.78334343276"/>
    <n v="5408"/>
  </r>
  <r>
    <x v="0"/>
    <x v="3"/>
    <x v="1"/>
    <x v="11"/>
    <n v="191437.6710307998"/>
    <n v="3866"/>
  </r>
  <r>
    <x v="0"/>
    <x v="3"/>
    <x v="2"/>
    <x v="0"/>
    <n v="223687.01733857131"/>
    <n v="4550"/>
  </r>
  <r>
    <x v="0"/>
    <x v="3"/>
    <x v="2"/>
    <x v="1"/>
    <n v="189152.24543673219"/>
    <n v="3757"/>
  </r>
  <r>
    <x v="0"/>
    <x v="3"/>
    <x v="2"/>
    <x v="2"/>
    <n v="214737.03002142839"/>
    <n v="4429"/>
  </r>
  <r>
    <x v="0"/>
    <x v="3"/>
    <x v="2"/>
    <x v="3"/>
    <n v="210115.06253880481"/>
    <n v="4247"/>
  </r>
  <r>
    <x v="0"/>
    <x v="3"/>
    <x v="2"/>
    <x v="4"/>
    <n v="240596.98746813112"/>
    <n v="4802"/>
  </r>
  <r>
    <x v="0"/>
    <x v="3"/>
    <x v="2"/>
    <x v="5"/>
    <n v="193562.59041777591"/>
    <n v="3961"/>
  </r>
  <r>
    <x v="0"/>
    <x v="3"/>
    <x v="2"/>
    <x v="6"/>
    <n v="185806.04406573231"/>
    <n v="3639"/>
  </r>
  <r>
    <x v="0"/>
    <x v="3"/>
    <x v="2"/>
    <x v="7"/>
    <n v="179785.06928093379"/>
    <n v="3593"/>
  </r>
  <r>
    <x v="0"/>
    <x v="3"/>
    <x v="2"/>
    <x v="8"/>
    <n v="158024.1534838301"/>
    <n v="3175"/>
  </r>
  <r>
    <x v="0"/>
    <x v="3"/>
    <x v="2"/>
    <x v="9"/>
    <n v="260364.67609200461"/>
    <n v="5114"/>
  </r>
  <r>
    <x v="0"/>
    <x v="3"/>
    <x v="2"/>
    <x v="10"/>
    <n v="239950.51045860411"/>
    <n v="4810"/>
  </r>
  <r>
    <x v="0"/>
    <x v="3"/>
    <x v="2"/>
    <x v="11"/>
    <n v="229429.71379106751"/>
    <n v="4758"/>
  </r>
  <r>
    <x v="1"/>
    <x v="0"/>
    <x v="0"/>
    <x v="0"/>
    <n v="116720.2178664869"/>
    <n v="2890"/>
  </r>
  <r>
    <x v="1"/>
    <x v="0"/>
    <x v="0"/>
    <x v="1"/>
    <n v="106309.8872018261"/>
    <n v="2680"/>
  </r>
  <r>
    <x v="1"/>
    <x v="0"/>
    <x v="0"/>
    <x v="2"/>
    <n v="99511.549197129905"/>
    <n v="2414"/>
  </r>
  <r>
    <x v="1"/>
    <x v="0"/>
    <x v="0"/>
    <x v="3"/>
    <n v="151890.49094876461"/>
    <n v="3802"/>
  </r>
  <r>
    <x v="1"/>
    <x v="0"/>
    <x v="0"/>
    <x v="4"/>
    <n v="184228.8000031253"/>
    <n v="4457"/>
  </r>
  <r>
    <x v="1"/>
    <x v="0"/>
    <x v="0"/>
    <x v="5"/>
    <n v="130601.1844719966"/>
    <n v="3384"/>
  </r>
  <r>
    <x v="1"/>
    <x v="0"/>
    <x v="0"/>
    <x v="6"/>
    <n v="134666.90617967019"/>
    <n v="3413"/>
  </r>
  <r>
    <x v="1"/>
    <x v="0"/>
    <x v="0"/>
    <x v="7"/>
    <n v="119355.62903008331"/>
    <n v="3015"/>
  </r>
  <r>
    <x v="1"/>
    <x v="0"/>
    <x v="0"/>
    <x v="8"/>
    <n v="100974.1833324981"/>
    <n v="2553"/>
  </r>
  <r>
    <x v="1"/>
    <x v="0"/>
    <x v="0"/>
    <x v="9"/>
    <n v="156171.4512083857"/>
    <n v="3942"/>
  </r>
  <r>
    <x v="1"/>
    <x v="0"/>
    <x v="0"/>
    <x v="10"/>
    <n v="153170.37145662311"/>
    <n v="3820"/>
  </r>
  <r>
    <x v="1"/>
    <x v="0"/>
    <x v="0"/>
    <x v="11"/>
    <n v="100481.0249437103"/>
    <n v="2551"/>
  </r>
  <r>
    <x v="1"/>
    <x v="0"/>
    <x v="1"/>
    <x v="0"/>
    <n v="144560.45909722062"/>
    <n v="3538"/>
  </r>
  <r>
    <x v="1"/>
    <x v="0"/>
    <x v="1"/>
    <x v="1"/>
    <n v="119394.28541417239"/>
    <n v="2920"/>
  </r>
  <r>
    <x v="1"/>
    <x v="0"/>
    <x v="1"/>
    <x v="2"/>
    <n v="138481.8749148697"/>
    <n v="3513"/>
  </r>
  <r>
    <x v="1"/>
    <x v="0"/>
    <x v="1"/>
    <x v="3"/>
    <n v="131275.4584711715"/>
    <n v="3260"/>
  </r>
  <r>
    <x v="1"/>
    <x v="0"/>
    <x v="1"/>
    <x v="4"/>
    <n v="142774.68271427241"/>
    <n v="3673"/>
  </r>
  <r>
    <x v="1"/>
    <x v="0"/>
    <x v="1"/>
    <x v="5"/>
    <n v="181948.24482817668"/>
    <n v="4426"/>
  </r>
  <r>
    <x v="1"/>
    <x v="0"/>
    <x v="1"/>
    <x v="6"/>
    <n v="132291.48209276059"/>
    <n v="3222"/>
  </r>
  <r>
    <x v="1"/>
    <x v="0"/>
    <x v="1"/>
    <x v="7"/>
    <n v="135151.84285123181"/>
    <n v="3405"/>
  </r>
  <r>
    <x v="1"/>
    <x v="0"/>
    <x v="1"/>
    <x v="8"/>
    <n v="128986.3846545127"/>
    <n v="3182"/>
  </r>
  <r>
    <x v="1"/>
    <x v="0"/>
    <x v="1"/>
    <x v="9"/>
    <n v="129292.1314695561"/>
    <n v="3244"/>
  </r>
  <r>
    <x v="1"/>
    <x v="0"/>
    <x v="1"/>
    <x v="10"/>
    <n v="147473.51578751759"/>
    <n v="3723"/>
  </r>
  <r>
    <x v="1"/>
    <x v="0"/>
    <x v="1"/>
    <x v="11"/>
    <n v="128429.10635807001"/>
    <n v="3168"/>
  </r>
  <r>
    <x v="1"/>
    <x v="0"/>
    <x v="2"/>
    <x v="0"/>
    <n v="107902.57515300821"/>
    <n v="2691"/>
  </r>
  <r>
    <x v="1"/>
    <x v="0"/>
    <x v="2"/>
    <x v="1"/>
    <n v="126400.678232397"/>
    <n v="3169"/>
  </r>
  <r>
    <x v="1"/>
    <x v="0"/>
    <x v="2"/>
    <x v="2"/>
    <n v="124103.51681297171"/>
    <n v="3019"/>
  </r>
  <r>
    <x v="1"/>
    <x v="0"/>
    <x v="2"/>
    <x v="3"/>
    <n v="129298.4601904312"/>
    <n v="3325"/>
  </r>
  <r>
    <x v="1"/>
    <x v="0"/>
    <x v="2"/>
    <x v="4"/>
    <n v="186276.27315654879"/>
    <n v="4615"/>
  </r>
  <r>
    <x v="1"/>
    <x v="0"/>
    <x v="2"/>
    <x v="5"/>
    <n v="188288.1387889054"/>
    <n v="4656"/>
  </r>
  <r>
    <x v="1"/>
    <x v="0"/>
    <x v="2"/>
    <x v="6"/>
    <n v="118320.2848336334"/>
    <n v="3009"/>
  </r>
  <r>
    <x v="1"/>
    <x v="0"/>
    <x v="2"/>
    <x v="7"/>
    <n v="106860.4261370562"/>
    <n v="2663"/>
  </r>
  <r>
    <x v="1"/>
    <x v="0"/>
    <x v="2"/>
    <x v="8"/>
    <n v="142950.94443768071"/>
    <n v="3545"/>
  </r>
  <r>
    <x v="1"/>
    <x v="0"/>
    <x v="2"/>
    <x v="9"/>
    <n v="146159.5774831083"/>
    <n v="3681"/>
  </r>
  <r>
    <x v="1"/>
    <x v="0"/>
    <x v="2"/>
    <x v="10"/>
    <n v="110343.05080031599"/>
    <n v="2800"/>
  </r>
  <r>
    <x v="1"/>
    <x v="0"/>
    <x v="2"/>
    <x v="11"/>
    <n v="153249.29119857118"/>
    <n v="3807"/>
  </r>
  <r>
    <x v="1"/>
    <x v="1"/>
    <x v="0"/>
    <x v="0"/>
    <n v="180688.03697122628"/>
    <n v="4569"/>
  </r>
  <r>
    <x v="1"/>
    <x v="1"/>
    <x v="0"/>
    <x v="1"/>
    <n v="110052.90119751731"/>
    <n v="2743"/>
  </r>
  <r>
    <x v="1"/>
    <x v="1"/>
    <x v="0"/>
    <x v="2"/>
    <n v="139089.18625694321"/>
    <n v="3447"/>
  </r>
  <r>
    <x v="1"/>
    <x v="1"/>
    <x v="0"/>
    <x v="3"/>
    <n v="180410.7153879962"/>
    <n v="4392"/>
  </r>
  <r>
    <x v="1"/>
    <x v="1"/>
    <x v="0"/>
    <x v="4"/>
    <n v="194471.36294217952"/>
    <n v="4783"/>
  </r>
  <r>
    <x v="1"/>
    <x v="1"/>
    <x v="0"/>
    <x v="5"/>
    <n v="152600.8499411568"/>
    <n v="3753"/>
  </r>
  <r>
    <x v="1"/>
    <x v="1"/>
    <x v="0"/>
    <x v="6"/>
    <n v="103767.25964584009"/>
    <n v="2601"/>
  </r>
  <r>
    <x v="1"/>
    <x v="1"/>
    <x v="0"/>
    <x v="7"/>
    <n v="184248.2353424383"/>
    <n v="4690"/>
  </r>
  <r>
    <x v="1"/>
    <x v="1"/>
    <x v="0"/>
    <x v="8"/>
    <n v="135070.4024346713"/>
    <n v="3339"/>
  </r>
  <r>
    <x v="1"/>
    <x v="1"/>
    <x v="0"/>
    <x v="9"/>
    <n v="174723.93584412249"/>
    <n v="4260"/>
  </r>
  <r>
    <x v="1"/>
    <x v="1"/>
    <x v="0"/>
    <x v="10"/>
    <n v="144753.2978151282"/>
    <n v="3618"/>
  </r>
  <r>
    <x v="1"/>
    <x v="1"/>
    <x v="0"/>
    <x v="11"/>
    <n v="154101.1988462341"/>
    <n v="3871"/>
  </r>
  <r>
    <x v="1"/>
    <x v="1"/>
    <x v="1"/>
    <x v="0"/>
    <n v="154066.59201119101"/>
    <n v="3779"/>
  </r>
  <r>
    <x v="1"/>
    <x v="1"/>
    <x v="1"/>
    <x v="1"/>
    <n v="134020.6006312817"/>
    <n v="3444"/>
  </r>
  <r>
    <x v="1"/>
    <x v="1"/>
    <x v="1"/>
    <x v="2"/>
    <n v="158661.41735329939"/>
    <n v="3950"/>
  </r>
  <r>
    <x v="1"/>
    <x v="1"/>
    <x v="1"/>
    <x v="3"/>
    <n v="138280.32712059381"/>
    <n v="3485"/>
  </r>
  <r>
    <x v="1"/>
    <x v="1"/>
    <x v="1"/>
    <x v="4"/>
    <n v="162864.6739087571"/>
    <n v="4006"/>
  </r>
  <r>
    <x v="1"/>
    <x v="1"/>
    <x v="1"/>
    <x v="5"/>
    <n v="240595.15867256941"/>
    <n v="5832"/>
  </r>
  <r>
    <x v="1"/>
    <x v="1"/>
    <x v="1"/>
    <x v="6"/>
    <n v="122141.88711562"/>
    <n v="3001"/>
  </r>
  <r>
    <x v="1"/>
    <x v="1"/>
    <x v="1"/>
    <x v="7"/>
    <n v="162922.51817115021"/>
    <n v="4203"/>
  </r>
  <r>
    <x v="1"/>
    <x v="1"/>
    <x v="1"/>
    <x v="8"/>
    <n v="127017.112826842"/>
    <n v="3143"/>
  </r>
  <r>
    <x v="1"/>
    <x v="1"/>
    <x v="1"/>
    <x v="9"/>
    <n v="172631.6769665126"/>
    <n v="4324"/>
  </r>
  <r>
    <x v="1"/>
    <x v="1"/>
    <x v="1"/>
    <x v="10"/>
    <n v="147953.66070748589"/>
    <n v="3763"/>
  </r>
  <r>
    <x v="1"/>
    <x v="1"/>
    <x v="1"/>
    <x v="11"/>
    <n v="137665.7583099902"/>
    <n v="3453"/>
  </r>
  <r>
    <x v="1"/>
    <x v="1"/>
    <x v="2"/>
    <x v="0"/>
    <n v="148745.0926764654"/>
    <n v="3786"/>
  </r>
  <r>
    <x v="1"/>
    <x v="1"/>
    <x v="2"/>
    <x v="1"/>
    <n v="132485.12711327901"/>
    <n v="3372"/>
  </r>
  <r>
    <x v="1"/>
    <x v="1"/>
    <x v="2"/>
    <x v="2"/>
    <n v="145935.77406649751"/>
    <n v="3629"/>
  </r>
  <r>
    <x v="1"/>
    <x v="1"/>
    <x v="2"/>
    <x v="3"/>
    <n v="165247.2197953407"/>
    <n v="4141"/>
  </r>
  <r>
    <x v="1"/>
    <x v="1"/>
    <x v="2"/>
    <x v="4"/>
    <n v="114967.3717119405"/>
    <n v="2923"/>
  </r>
  <r>
    <x v="1"/>
    <x v="1"/>
    <x v="2"/>
    <x v="5"/>
    <n v="153714.27201279061"/>
    <n v="3826"/>
  </r>
  <r>
    <x v="1"/>
    <x v="1"/>
    <x v="2"/>
    <x v="6"/>
    <n v="134028.2007758785"/>
    <n v="3445"/>
  </r>
  <r>
    <x v="1"/>
    <x v="1"/>
    <x v="2"/>
    <x v="7"/>
    <n v="132146.57342686411"/>
    <n v="3338"/>
  </r>
  <r>
    <x v="1"/>
    <x v="1"/>
    <x v="2"/>
    <x v="8"/>
    <n v="161661.21244024951"/>
    <n v="4063"/>
  </r>
  <r>
    <x v="1"/>
    <x v="1"/>
    <x v="2"/>
    <x v="9"/>
    <n v="191300.16595384671"/>
    <n v="4817"/>
  </r>
  <r>
    <x v="1"/>
    <x v="1"/>
    <x v="2"/>
    <x v="10"/>
    <n v="119922.29750079662"/>
    <n v="3004"/>
  </r>
  <r>
    <x v="1"/>
    <x v="1"/>
    <x v="2"/>
    <x v="11"/>
    <n v="127793.77052348289"/>
    <n v="3163"/>
  </r>
  <r>
    <x v="1"/>
    <x v="2"/>
    <x v="0"/>
    <x v="0"/>
    <n v="75318.245268076702"/>
    <n v="1894"/>
  </r>
  <r>
    <x v="1"/>
    <x v="2"/>
    <x v="0"/>
    <x v="1"/>
    <n v="84488.250912797695"/>
    <n v="2127"/>
  </r>
  <r>
    <x v="1"/>
    <x v="2"/>
    <x v="0"/>
    <x v="2"/>
    <n v="66423.0715926782"/>
    <n v="1687"/>
  </r>
  <r>
    <x v="1"/>
    <x v="2"/>
    <x v="0"/>
    <x v="3"/>
    <n v="70350.604276201702"/>
    <n v="1742"/>
  </r>
  <r>
    <x v="1"/>
    <x v="2"/>
    <x v="0"/>
    <x v="4"/>
    <n v="101715.5284877168"/>
    <n v="2537"/>
  </r>
  <r>
    <x v="1"/>
    <x v="2"/>
    <x v="0"/>
    <x v="5"/>
    <n v="80279.246572122007"/>
    <n v="2052"/>
  </r>
  <r>
    <x v="1"/>
    <x v="2"/>
    <x v="0"/>
    <x v="6"/>
    <n v="92619.951301021501"/>
    <n v="2237"/>
  </r>
  <r>
    <x v="1"/>
    <x v="2"/>
    <x v="0"/>
    <x v="7"/>
    <n v="67904.957694643206"/>
    <n v="1744"/>
  </r>
  <r>
    <x v="1"/>
    <x v="2"/>
    <x v="0"/>
    <x v="8"/>
    <n v="86968.035231254093"/>
    <n v="2139"/>
  </r>
  <r>
    <x v="1"/>
    <x v="2"/>
    <x v="0"/>
    <x v="9"/>
    <n v="108722.565225577"/>
    <n v="2686"/>
  </r>
  <r>
    <x v="1"/>
    <x v="2"/>
    <x v="0"/>
    <x v="10"/>
    <n v="92880.496212025202"/>
    <n v="2342"/>
  </r>
  <r>
    <x v="1"/>
    <x v="2"/>
    <x v="0"/>
    <x v="11"/>
    <n v="77200.773532632709"/>
    <n v="1967"/>
  </r>
  <r>
    <x v="1"/>
    <x v="2"/>
    <x v="1"/>
    <x v="0"/>
    <n v="68549.477462853305"/>
    <n v="1732"/>
  </r>
  <r>
    <x v="1"/>
    <x v="2"/>
    <x v="1"/>
    <x v="1"/>
    <n v="79441.635759908706"/>
    <n v="1980"/>
  </r>
  <r>
    <x v="1"/>
    <x v="2"/>
    <x v="1"/>
    <x v="2"/>
    <n v="58497.939782444497"/>
    <n v="1457"/>
  </r>
  <r>
    <x v="1"/>
    <x v="2"/>
    <x v="1"/>
    <x v="3"/>
    <n v="111644.45869949651"/>
    <n v="2881"/>
  </r>
  <r>
    <x v="1"/>
    <x v="2"/>
    <x v="1"/>
    <x v="4"/>
    <n v="93346.17734396171"/>
    <n v="2360"/>
  </r>
  <r>
    <x v="1"/>
    <x v="2"/>
    <x v="1"/>
    <x v="5"/>
    <n v="80625.295683206103"/>
    <n v="2033"/>
  </r>
  <r>
    <x v="1"/>
    <x v="2"/>
    <x v="1"/>
    <x v="6"/>
    <n v="78775.636744033603"/>
    <n v="1973"/>
  </r>
  <r>
    <x v="1"/>
    <x v="2"/>
    <x v="1"/>
    <x v="7"/>
    <n v="77327.467793359392"/>
    <n v="1952"/>
  </r>
  <r>
    <x v="1"/>
    <x v="2"/>
    <x v="1"/>
    <x v="8"/>
    <n v="96333.272334998401"/>
    <n v="2405"/>
  </r>
  <r>
    <x v="1"/>
    <x v="2"/>
    <x v="1"/>
    <x v="9"/>
    <n v="112143.7527413183"/>
    <n v="2769"/>
  </r>
  <r>
    <x v="1"/>
    <x v="2"/>
    <x v="1"/>
    <x v="10"/>
    <n v="104373.9110967163"/>
    <n v="2563"/>
  </r>
  <r>
    <x v="1"/>
    <x v="2"/>
    <x v="1"/>
    <x v="11"/>
    <n v="117075.0430279328"/>
    <n v="2993"/>
  </r>
  <r>
    <x v="1"/>
    <x v="2"/>
    <x v="2"/>
    <x v="0"/>
    <n v="83867.457012867599"/>
    <n v="2150"/>
  </r>
  <r>
    <x v="1"/>
    <x v="2"/>
    <x v="2"/>
    <x v="1"/>
    <n v="74147.210647590502"/>
    <n v="1888"/>
  </r>
  <r>
    <x v="1"/>
    <x v="2"/>
    <x v="2"/>
    <x v="2"/>
    <n v="71688.203392854004"/>
    <n v="1831"/>
  </r>
  <r>
    <x v="1"/>
    <x v="2"/>
    <x v="2"/>
    <x v="3"/>
    <n v="93717.282647878892"/>
    <n v="2272"/>
  </r>
  <r>
    <x v="1"/>
    <x v="2"/>
    <x v="2"/>
    <x v="4"/>
    <n v="129007.8657996431"/>
    <n v="3283"/>
  </r>
  <r>
    <x v="1"/>
    <x v="2"/>
    <x v="2"/>
    <x v="5"/>
    <n v="96485.037958182395"/>
    <n v="2376"/>
  </r>
  <r>
    <x v="1"/>
    <x v="2"/>
    <x v="2"/>
    <x v="6"/>
    <n v="101216.7866892098"/>
    <n v="2568"/>
  </r>
  <r>
    <x v="1"/>
    <x v="2"/>
    <x v="2"/>
    <x v="7"/>
    <n v="83552.519127414504"/>
    <n v="2157"/>
  </r>
  <r>
    <x v="1"/>
    <x v="2"/>
    <x v="2"/>
    <x v="8"/>
    <n v="77314.210574097"/>
    <n v="1957"/>
  </r>
  <r>
    <x v="1"/>
    <x v="2"/>
    <x v="2"/>
    <x v="9"/>
    <n v="85277.332582268791"/>
    <n v="2138"/>
  </r>
  <r>
    <x v="1"/>
    <x v="2"/>
    <x v="2"/>
    <x v="10"/>
    <n v="105906.3348584855"/>
    <n v="2650"/>
  </r>
  <r>
    <x v="1"/>
    <x v="2"/>
    <x v="2"/>
    <x v="11"/>
    <n v="116026.8974400461"/>
    <n v="2895"/>
  </r>
  <r>
    <x v="1"/>
    <x v="3"/>
    <x v="0"/>
    <x v="0"/>
    <n v="98317.799352825605"/>
    <n v="2469"/>
  </r>
  <r>
    <x v="1"/>
    <x v="3"/>
    <x v="0"/>
    <x v="1"/>
    <n v="161882.58252183351"/>
    <n v="3985"/>
  </r>
  <r>
    <x v="1"/>
    <x v="3"/>
    <x v="0"/>
    <x v="2"/>
    <n v="127030.2453116924"/>
    <n v="3077"/>
  </r>
  <r>
    <x v="1"/>
    <x v="3"/>
    <x v="0"/>
    <x v="3"/>
    <n v="128875.7542927125"/>
    <n v="3283"/>
  </r>
  <r>
    <x v="1"/>
    <x v="3"/>
    <x v="0"/>
    <x v="4"/>
    <n v="113406.11775572601"/>
    <n v="2972"/>
  </r>
  <r>
    <x v="1"/>
    <x v="3"/>
    <x v="0"/>
    <x v="5"/>
    <n v="116267.91061147311"/>
    <n v="2876"/>
  </r>
  <r>
    <x v="1"/>
    <x v="3"/>
    <x v="0"/>
    <x v="6"/>
    <n v="109360.36235435031"/>
    <n v="2698"/>
  </r>
  <r>
    <x v="1"/>
    <x v="3"/>
    <x v="0"/>
    <x v="7"/>
    <n v="125548.0634765392"/>
    <n v="3125"/>
  </r>
  <r>
    <x v="1"/>
    <x v="3"/>
    <x v="0"/>
    <x v="8"/>
    <n v="121297.17710179"/>
    <n v="3018"/>
  </r>
  <r>
    <x v="1"/>
    <x v="3"/>
    <x v="0"/>
    <x v="9"/>
    <n v="114100.3659083043"/>
    <n v="2894"/>
  </r>
  <r>
    <x v="1"/>
    <x v="3"/>
    <x v="0"/>
    <x v="10"/>
    <n v="107094.0482331058"/>
    <n v="2696"/>
  </r>
  <r>
    <x v="1"/>
    <x v="3"/>
    <x v="0"/>
    <x v="11"/>
    <n v="110630.0577312456"/>
    <n v="2777"/>
  </r>
  <r>
    <x v="1"/>
    <x v="3"/>
    <x v="1"/>
    <x v="0"/>
    <n v="84455.739046039991"/>
    <n v="2183"/>
  </r>
  <r>
    <x v="1"/>
    <x v="3"/>
    <x v="1"/>
    <x v="1"/>
    <n v="120188.2977137556"/>
    <n v="3040"/>
  </r>
  <r>
    <x v="1"/>
    <x v="3"/>
    <x v="1"/>
    <x v="2"/>
    <n v="120542.00519539139"/>
    <n v="3038"/>
  </r>
  <r>
    <x v="1"/>
    <x v="3"/>
    <x v="1"/>
    <x v="3"/>
    <n v="121772.04622836781"/>
    <n v="3048"/>
  </r>
  <r>
    <x v="1"/>
    <x v="3"/>
    <x v="1"/>
    <x v="4"/>
    <n v="166445.77547170132"/>
    <n v="4087"/>
  </r>
  <r>
    <x v="1"/>
    <x v="3"/>
    <x v="1"/>
    <x v="5"/>
    <n v="138716.5292218691"/>
    <n v="3545"/>
  </r>
  <r>
    <x v="1"/>
    <x v="3"/>
    <x v="1"/>
    <x v="6"/>
    <n v="114535.5283952505"/>
    <n v="2864"/>
  </r>
  <r>
    <x v="1"/>
    <x v="3"/>
    <x v="1"/>
    <x v="7"/>
    <n v="112320.94252746641"/>
    <n v="2869"/>
  </r>
  <r>
    <x v="1"/>
    <x v="3"/>
    <x v="1"/>
    <x v="8"/>
    <n v="111013.662353754"/>
    <n v="2772"/>
  </r>
  <r>
    <x v="1"/>
    <x v="3"/>
    <x v="1"/>
    <x v="9"/>
    <n v="104467.0777232722"/>
    <n v="2550"/>
  </r>
  <r>
    <x v="1"/>
    <x v="3"/>
    <x v="1"/>
    <x v="10"/>
    <n v="131601.94296188379"/>
    <n v="3356"/>
  </r>
  <r>
    <x v="1"/>
    <x v="3"/>
    <x v="1"/>
    <x v="11"/>
    <n v="159829.28632721299"/>
    <n v="3990"/>
  </r>
  <r>
    <x v="1"/>
    <x v="3"/>
    <x v="2"/>
    <x v="0"/>
    <n v="132919.08440509532"/>
    <n v="3375"/>
  </r>
  <r>
    <x v="1"/>
    <x v="3"/>
    <x v="2"/>
    <x v="1"/>
    <n v="108407.0796028394"/>
    <n v="2734"/>
  </r>
  <r>
    <x v="1"/>
    <x v="3"/>
    <x v="2"/>
    <x v="2"/>
    <n v="88934.095547152698"/>
    <n v="2212"/>
  </r>
  <r>
    <x v="1"/>
    <x v="3"/>
    <x v="2"/>
    <x v="3"/>
    <n v="98842.225449175603"/>
    <n v="2430"/>
  </r>
  <r>
    <x v="1"/>
    <x v="3"/>
    <x v="2"/>
    <x v="4"/>
    <n v="137231.6364394725"/>
    <n v="3351"/>
  </r>
  <r>
    <x v="1"/>
    <x v="3"/>
    <x v="2"/>
    <x v="5"/>
    <n v="117005.9303179923"/>
    <n v="2982"/>
  </r>
  <r>
    <x v="1"/>
    <x v="3"/>
    <x v="2"/>
    <x v="6"/>
    <n v="94633.815630732104"/>
    <n v="2407"/>
  </r>
  <r>
    <x v="1"/>
    <x v="3"/>
    <x v="2"/>
    <x v="7"/>
    <n v="110484.7211210448"/>
    <n v="2754"/>
  </r>
  <r>
    <x v="1"/>
    <x v="3"/>
    <x v="2"/>
    <x v="8"/>
    <n v="130578.4332097396"/>
    <n v="3218"/>
  </r>
  <r>
    <x v="1"/>
    <x v="3"/>
    <x v="2"/>
    <x v="9"/>
    <n v="121439.5215027528"/>
    <n v="2983"/>
  </r>
  <r>
    <x v="1"/>
    <x v="3"/>
    <x v="2"/>
    <x v="10"/>
    <n v="121897.116380943"/>
    <n v="3078"/>
  </r>
  <r>
    <x v="1"/>
    <x v="3"/>
    <x v="2"/>
    <x v="11"/>
    <n v="105500.9060507993"/>
    <n v="2718"/>
  </r>
  <r>
    <x v="2"/>
    <x v="0"/>
    <x v="0"/>
    <x v="0"/>
    <n v="76378.111957881803"/>
    <n v="2238"/>
  </r>
  <r>
    <x v="2"/>
    <x v="0"/>
    <x v="0"/>
    <x v="1"/>
    <n v="85494.386797870407"/>
    <n v="2506"/>
  </r>
  <r>
    <x v="2"/>
    <x v="0"/>
    <x v="0"/>
    <x v="2"/>
    <n v="76763.707784763101"/>
    <n v="2138"/>
  </r>
  <r>
    <x v="2"/>
    <x v="0"/>
    <x v="0"/>
    <x v="3"/>
    <n v="108471.95516383389"/>
    <n v="3171"/>
  </r>
  <r>
    <x v="2"/>
    <x v="0"/>
    <x v="0"/>
    <x v="4"/>
    <n v="102605.53523444039"/>
    <n v="2834"/>
  </r>
  <r>
    <x v="2"/>
    <x v="0"/>
    <x v="0"/>
    <x v="5"/>
    <n v="94762.203859230402"/>
    <n v="2632"/>
  </r>
  <r>
    <x v="2"/>
    <x v="0"/>
    <x v="0"/>
    <x v="6"/>
    <n v="71088.041372244305"/>
    <n v="2057"/>
  </r>
  <r>
    <x v="2"/>
    <x v="0"/>
    <x v="0"/>
    <x v="7"/>
    <n v="66986.114629795396"/>
    <n v="1880"/>
  </r>
  <r>
    <x v="2"/>
    <x v="0"/>
    <x v="0"/>
    <x v="8"/>
    <n v="83632.431476949205"/>
    <n v="2358"/>
  </r>
  <r>
    <x v="2"/>
    <x v="0"/>
    <x v="0"/>
    <x v="9"/>
    <n v="83555.677872447195"/>
    <n v="2312"/>
  </r>
  <r>
    <x v="2"/>
    <x v="0"/>
    <x v="0"/>
    <x v="10"/>
    <n v="98983.161016282596"/>
    <n v="2880"/>
  </r>
  <r>
    <x v="2"/>
    <x v="0"/>
    <x v="0"/>
    <x v="11"/>
    <n v="86540.240463498805"/>
    <n v="2534"/>
  </r>
  <r>
    <x v="2"/>
    <x v="0"/>
    <x v="1"/>
    <x v="0"/>
    <n v="75991.4025326665"/>
    <n v="2129"/>
  </r>
  <r>
    <x v="2"/>
    <x v="0"/>
    <x v="1"/>
    <x v="1"/>
    <n v="78736.817019596594"/>
    <n v="2320"/>
  </r>
  <r>
    <x v="2"/>
    <x v="0"/>
    <x v="1"/>
    <x v="2"/>
    <n v="99369.698665241609"/>
    <n v="2783"/>
  </r>
  <r>
    <x v="2"/>
    <x v="0"/>
    <x v="1"/>
    <x v="3"/>
    <n v="70974.981426505692"/>
    <n v="2029"/>
  </r>
  <r>
    <x v="2"/>
    <x v="0"/>
    <x v="1"/>
    <x v="4"/>
    <n v="84500.020365080301"/>
    <n v="2404"/>
  </r>
  <r>
    <x v="2"/>
    <x v="0"/>
    <x v="1"/>
    <x v="5"/>
    <n v="101445.68916868771"/>
    <n v="2885"/>
  </r>
  <r>
    <x v="2"/>
    <x v="0"/>
    <x v="1"/>
    <x v="6"/>
    <n v="101063.2681236271"/>
    <n v="2872"/>
  </r>
  <r>
    <x v="2"/>
    <x v="0"/>
    <x v="1"/>
    <x v="7"/>
    <n v="68335.498180014998"/>
    <n v="1939"/>
  </r>
  <r>
    <x v="2"/>
    <x v="0"/>
    <x v="1"/>
    <x v="8"/>
    <n v="80706.730991780409"/>
    <n v="2339"/>
  </r>
  <r>
    <x v="2"/>
    <x v="0"/>
    <x v="1"/>
    <x v="9"/>
    <n v="86625.04423022471"/>
    <n v="2553"/>
  </r>
  <r>
    <x v="2"/>
    <x v="0"/>
    <x v="1"/>
    <x v="10"/>
    <n v="89160.7898881976"/>
    <n v="2504"/>
  </r>
  <r>
    <x v="2"/>
    <x v="0"/>
    <x v="1"/>
    <x v="11"/>
    <n v="98569.151878815697"/>
    <n v="2841"/>
  </r>
  <r>
    <x v="2"/>
    <x v="0"/>
    <x v="2"/>
    <x v="0"/>
    <n v="86937.343538186295"/>
    <n v="2510"/>
  </r>
  <r>
    <x v="2"/>
    <x v="0"/>
    <x v="2"/>
    <x v="1"/>
    <n v="108965.7499295486"/>
    <n v="3154"/>
  </r>
  <r>
    <x v="2"/>
    <x v="0"/>
    <x v="2"/>
    <x v="2"/>
    <n v="89208.076989102599"/>
    <n v="2512"/>
  </r>
  <r>
    <x v="2"/>
    <x v="0"/>
    <x v="2"/>
    <x v="3"/>
    <n v="92956.177518088502"/>
    <n v="2720"/>
  </r>
  <r>
    <x v="2"/>
    <x v="0"/>
    <x v="2"/>
    <x v="4"/>
    <n v="106064.86340561451"/>
    <n v="2998"/>
  </r>
  <r>
    <x v="2"/>
    <x v="0"/>
    <x v="2"/>
    <x v="5"/>
    <n v="101180.4138200524"/>
    <n v="2889"/>
  </r>
  <r>
    <x v="2"/>
    <x v="0"/>
    <x v="2"/>
    <x v="6"/>
    <n v="71355.203165172104"/>
    <n v="2009"/>
  </r>
  <r>
    <x v="2"/>
    <x v="0"/>
    <x v="2"/>
    <x v="7"/>
    <n v="76961.406006118501"/>
    <n v="2262"/>
  </r>
  <r>
    <x v="2"/>
    <x v="0"/>
    <x v="2"/>
    <x v="8"/>
    <n v="89438.380282235099"/>
    <n v="2602"/>
  </r>
  <r>
    <x v="2"/>
    <x v="0"/>
    <x v="2"/>
    <x v="9"/>
    <n v="106605.3890188659"/>
    <n v="2909"/>
  </r>
  <r>
    <x v="2"/>
    <x v="0"/>
    <x v="2"/>
    <x v="10"/>
    <n v="90935.512496352196"/>
    <n v="2513"/>
  </r>
  <r>
    <x v="2"/>
    <x v="0"/>
    <x v="2"/>
    <x v="11"/>
    <n v="101487.0237837958"/>
    <n v="2934"/>
  </r>
  <r>
    <x v="2"/>
    <x v="1"/>
    <x v="0"/>
    <x v="0"/>
    <n v="102771.4276012046"/>
    <n v="2879"/>
  </r>
  <r>
    <x v="2"/>
    <x v="1"/>
    <x v="0"/>
    <x v="1"/>
    <n v="100473.6603417509"/>
    <n v="2926"/>
  </r>
  <r>
    <x v="2"/>
    <x v="1"/>
    <x v="0"/>
    <x v="2"/>
    <n v="67710.043826372203"/>
    <n v="1961"/>
  </r>
  <r>
    <x v="2"/>
    <x v="1"/>
    <x v="0"/>
    <x v="3"/>
    <n v="134824.93410104129"/>
    <n v="3755"/>
  </r>
  <r>
    <x v="2"/>
    <x v="1"/>
    <x v="0"/>
    <x v="4"/>
    <n v="110976.3713691529"/>
    <n v="3225"/>
  </r>
  <r>
    <x v="2"/>
    <x v="1"/>
    <x v="0"/>
    <x v="5"/>
    <n v="96654.596768923191"/>
    <n v="2665"/>
  </r>
  <r>
    <x v="2"/>
    <x v="1"/>
    <x v="0"/>
    <x v="6"/>
    <n v="92047.800708060589"/>
    <n v="2565"/>
  </r>
  <r>
    <x v="2"/>
    <x v="1"/>
    <x v="0"/>
    <x v="7"/>
    <n v="114071.7957901293"/>
    <n v="3204"/>
  </r>
  <r>
    <x v="2"/>
    <x v="1"/>
    <x v="0"/>
    <x v="8"/>
    <n v="99888.955619729793"/>
    <n v="2824"/>
  </r>
  <r>
    <x v="2"/>
    <x v="1"/>
    <x v="0"/>
    <x v="9"/>
    <n v="93095.292486840102"/>
    <n v="2696"/>
  </r>
  <r>
    <x v="2"/>
    <x v="1"/>
    <x v="0"/>
    <x v="10"/>
    <n v="104425.5858986137"/>
    <n v="2967"/>
  </r>
  <r>
    <x v="2"/>
    <x v="1"/>
    <x v="0"/>
    <x v="11"/>
    <n v="90653.401754532199"/>
    <n v="2674"/>
  </r>
  <r>
    <x v="2"/>
    <x v="1"/>
    <x v="1"/>
    <x v="0"/>
    <n v="94212.257272431889"/>
    <n v="2735"/>
  </r>
  <r>
    <x v="2"/>
    <x v="1"/>
    <x v="1"/>
    <x v="1"/>
    <n v="104486.64356574239"/>
    <n v="2958"/>
  </r>
  <r>
    <x v="2"/>
    <x v="1"/>
    <x v="1"/>
    <x v="2"/>
    <n v="127451.7013010822"/>
    <n v="3647"/>
  </r>
  <r>
    <x v="2"/>
    <x v="1"/>
    <x v="1"/>
    <x v="3"/>
    <n v="128860.9121147891"/>
    <n v="3618"/>
  </r>
  <r>
    <x v="2"/>
    <x v="1"/>
    <x v="1"/>
    <x v="4"/>
    <n v="88043.492796512292"/>
    <n v="2494"/>
  </r>
  <r>
    <x v="2"/>
    <x v="1"/>
    <x v="1"/>
    <x v="5"/>
    <n v="135566.9805094389"/>
    <n v="3788"/>
  </r>
  <r>
    <x v="2"/>
    <x v="1"/>
    <x v="1"/>
    <x v="6"/>
    <n v="121232.69201745201"/>
    <n v="3526"/>
  </r>
  <r>
    <x v="2"/>
    <x v="1"/>
    <x v="1"/>
    <x v="7"/>
    <n v="93590.308208652903"/>
    <n v="2652"/>
  </r>
  <r>
    <x v="2"/>
    <x v="1"/>
    <x v="1"/>
    <x v="8"/>
    <n v="94331.012286897108"/>
    <n v="2752"/>
  </r>
  <r>
    <x v="2"/>
    <x v="1"/>
    <x v="1"/>
    <x v="9"/>
    <n v="121242.60119540201"/>
    <n v="3356"/>
  </r>
  <r>
    <x v="2"/>
    <x v="1"/>
    <x v="1"/>
    <x v="10"/>
    <n v="123662.4114437097"/>
    <n v="3420"/>
  </r>
  <r>
    <x v="2"/>
    <x v="1"/>
    <x v="1"/>
    <x v="11"/>
    <n v="106135.8131417862"/>
    <n v="3060"/>
  </r>
  <r>
    <x v="2"/>
    <x v="1"/>
    <x v="2"/>
    <x v="0"/>
    <n v="142242.238361002"/>
    <n v="4018"/>
  </r>
  <r>
    <x v="2"/>
    <x v="1"/>
    <x v="2"/>
    <x v="1"/>
    <n v="114751.1992809262"/>
    <n v="3251"/>
  </r>
  <r>
    <x v="2"/>
    <x v="1"/>
    <x v="2"/>
    <x v="2"/>
    <n v="106949.25842199341"/>
    <n v="3129"/>
  </r>
  <r>
    <x v="2"/>
    <x v="1"/>
    <x v="2"/>
    <x v="3"/>
    <n v="103848.45824410749"/>
    <n v="2909"/>
  </r>
  <r>
    <x v="2"/>
    <x v="1"/>
    <x v="2"/>
    <x v="4"/>
    <n v="107926.954827683"/>
    <n v="3031"/>
  </r>
  <r>
    <x v="2"/>
    <x v="1"/>
    <x v="2"/>
    <x v="5"/>
    <n v="114407.7621209535"/>
    <n v="3229"/>
  </r>
  <r>
    <x v="2"/>
    <x v="1"/>
    <x v="2"/>
    <x v="6"/>
    <n v="109969.6192298972"/>
    <n v="3100"/>
  </r>
  <r>
    <x v="2"/>
    <x v="1"/>
    <x v="2"/>
    <x v="7"/>
    <n v="80918.236504400003"/>
    <n v="2391"/>
  </r>
  <r>
    <x v="2"/>
    <x v="1"/>
    <x v="2"/>
    <x v="8"/>
    <n v="85401.186953025303"/>
    <n v="2447"/>
  </r>
  <r>
    <x v="2"/>
    <x v="1"/>
    <x v="2"/>
    <x v="9"/>
    <n v="123455.4195250289"/>
    <n v="3578"/>
  </r>
  <r>
    <x v="2"/>
    <x v="1"/>
    <x v="2"/>
    <x v="10"/>
    <n v="96633.982812528004"/>
    <n v="2804"/>
  </r>
  <r>
    <x v="2"/>
    <x v="1"/>
    <x v="2"/>
    <x v="11"/>
    <n v="92099.139007135105"/>
    <n v="2666"/>
  </r>
  <r>
    <x v="2"/>
    <x v="2"/>
    <x v="0"/>
    <x v="0"/>
    <n v="57404.352665867904"/>
    <n v="1643"/>
  </r>
  <r>
    <x v="2"/>
    <x v="2"/>
    <x v="0"/>
    <x v="1"/>
    <n v="55702.215021072101"/>
    <n v="1557"/>
  </r>
  <r>
    <x v="2"/>
    <x v="2"/>
    <x v="0"/>
    <x v="2"/>
    <n v="47647.031765102103"/>
    <n v="1307"/>
  </r>
  <r>
    <x v="2"/>
    <x v="2"/>
    <x v="0"/>
    <x v="3"/>
    <n v="51663.4773135957"/>
    <n v="1501"/>
  </r>
  <r>
    <x v="2"/>
    <x v="2"/>
    <x v="0"/>
    <x v="4"/>
    <n v="69439.009120954608"/>
    <n v="2022"/>
  </r>
  <r>
    <x v="2"/>
    <x v="2"/>
    <x v="0"/>
    <x v="5"/>
    <n v="56930.386631331501"/>
    <n v="1598"/>
  </r>
  <r>
    <x v="2"/>
    <x v="2"/>
    <x v="0"/>
    <x v="6"/>
    <n v="53955.102021907798"/>
    <n v="1594"/>
  </r>
  <r>
    <x v="2"/>
    <x v="2"/>
    <x v="0"/>
    <x v="7"/>
    <n v="63338.419134719399"/>
    <n v="1829"/>
  </r>
  <r>
    <x v="2"/>
    <x v="2"/>
    <x v="0"/>
    <x v="8"/>
    <n v="47904.737320207503"/>
    <n v="1373"/>
  </r>
  <r>
    <x v="2"/>
    <x v="2"/>
    <x v="0"/>
    <x v="9"/>
    <n v="54952.374412491998"/>
    <n v="1565"/>
  </r>
  <r>
    <x v="2"/>
    <x v="2"/>
    <x v="0"/>
    <x v="10"/>
    <n v="54369.7394611208"/>
    <n v="1553"/>
  </r>
  <r>
    <x v="2"/>
    <x v="2"/>
    <x v="0"/>
    <x v="11"/>
    <n v="65821.981607118694"/>
    <n v="1906"/>
  </r>
  <r>
    <x v="2"/>
    <x v="2"/>
    <x v="1"/>
    <x v="0"/>
    <n v="63266.868644461698"/>
    <n v="1807"/>
  </r>
  <r>
    <x v="2"/>
    <x v="2"/>
    <x v="1"/>
    <x v="1"/>
    <n v="54234.607240457699"/>
    <n v="1553"/>
  </r>
  <r>
    <x v="2"/>
    <x v="2"/>
    <x v="1"/>
    <x v="2"/>
    <n v="69546.284757042406"/>
    <n v="1976"/>
  </r>
  <r>
    <x v="2"/>
    <x v="2"/>
    <x v="1"/>
    <x v="3"/>
    <n v="81408.001797217104"/>
    <n v="2265"/>
  </r>
  <r>
    <x v="2"/>
    <x v="2"/>
    <x v="1"/>
    <x v="4"/>
    <n v="69901.544988749898"/>
    <n v="2030"/>
  </r>
  <r>
    <x v="2"/>
    <x v="2"/>
    <x v="1"/>
    <x v="5"/>
    <n v="50050.683120777001"/>
    <n v="1420"/>
  </r>
  <r>
    <x v="2"/>
    <x v="2"/>
    <x v="1"/>
    <x v="6"/>
    <n v="45385.517724885402"/>
    <n v="1316"/>
  </r>
  <r>
    <x v="2"/>
    <x v="2"/>
    <x v="1"/>
    <x v="7"/>
    <n v="45909.830544968165"/>
    <n v="1346"/>
  </r>
  <r>
    <x v="2"/>
    <x v="2"/>
    <x v="1"/>
    <x v="8"/>
    <n v="58455.664653457396"/>
    <n v="1715"/>
  </r>
  <r>
    <x v="2"/>
    <x v="2"/>
    <x v="1"/>
    <x v="9"/>
    <n v="58921.379848146702"/>
    <n v="1674"/>
  </r>
  <r>
    <x v="2"/>
    <x v="2"/>
    <x v="1"/>
    <x v="10"/>
    <n v="61162.009999348396"/>
    <n v="1777"/>
  </r>
  <r>
    <x v="2"/>
    <x v="2"/>
    <x v="1"/>
    <x v="11"/>
    <n v="56748.502199414703"/>
    <n v="1614"/>
  </r>
  <r>
    <x v="2"/>
    <x v="2"/>
    <x v="2"/>
    <x v="0"/>
    <n v="61921.899194120502"/>
    <n v="1723"/>
  </r>
  <r>
    <x v="2"/>
    <x v="2"/>
    <x v="2"/>
    <x v="1"/>
    <n v="69808.957436950295"/>
    <n v="1980"/>
  </r>
  <r>
    <x v="2"/>
    <x v="2"/>
    <x v="2"/>
    <x v="2"/>
    <n v="65631.990317519696"/>
    <n v="1942"/>
  </r>
  <r>
    <x v="2"/>
    <x v="2"/>
    <x v="2"/>
    <x v="3"/>
    <n v="48410.424220716493"/>
    <n v="1404"/>
  </r>
  <r>
    <x v="2"/>
    <x v="2"/>
    <x v="2"/>
    <x v="4"/>
    <n v="63493.740222657798"/>
    <n v="1835"/>
  </r>
  <r>
    <x v="2"/>
    <x v="2"/>
    <x v="2"/>
    <x v="5"/>
    <n v="89584.488776892511"/>
    <n v="2641"/>
  </r>
  <r>
    <x v="2"/>
    <x v="2"/>
    <x v="2"/>
    <x v="6"/>
    <n v="57701.404408159899"/>
    <n v="1665"/>
  </r>
  <r>
    <x v="2"/>
    <x v="2"/>
    <x v="2"/>
    <x v="7"/>
    <n v="50811.346063210498"/>
    <n v="1510"/>
  </r>
  <r>
    <x v="2"/>
    <x v="2"/>
    <x v="2"/>
    <x v="8"/>
    <n v="49160.223786090399"/>
    <n v="1390"/>
  </r>
  <r>
    <x v="2"/>
    <x v="2"/>
    <x v="2"/>
    <x v="9"/>
    <n v="61778.898973058604"/>
    <n v="1732"/>
  </r>
  <r>
    <x v="2"/>
    <x v="2"/>
    <x v="2"/>
    <x v="10"/>
    <n v="66250.578996908691"/>
    <n v="1900"/>
  </r>
  <r>
    <x v="2"/>
    <x v="2"/>
    <x v="2"/>
    <x v="11"/>
    <n v="52786.027999927304"/>
    <n v="1514"/>
  </r>
  <r>
    <x v="2"/>
    <x v="3"/>
    <x v="0"/>
    <x v="0"/>
    <n v="66719.347722336708"/>
    <n v="1909"/>
  </r>
  <r>
    <x v="2"/>
    <x v="3"/>
    <x v="0"/>
    <x v="1"/>
    <n v="68391.685004839208"/>
    <n v="1995"/>
  </r>
  <r>
    <x v="2"/>
    <x v="3"/>
    <x v="0"/>
    <x v="2"/>
    <n v="72649.296338466491"/>
    <n v="2073"/>
  </r>
  <r>
    <x v="2"/>
    <x v="3"/>
    <x v="0"/>
    <x v="3"/>
    <n v="49627.246320460901"/>
    <n v="1404"/>
  </r>
  <r>
    <x v="2"/>
    <x v="3"/>
    <x v="0"/>
    <x v="4"/>
    <n v="94364.158586035992"/>
    <n v="2684"/>
  </r>
  <r>
    <x v="2"/>
    <x v="3"/>
    <x v="0"/>
    <x v="5"/>
    <n v="74395.001669875506"/>
    <n v="2134"/>
  </r>
  <r>
    <x v="2"/>
    <x v="3"/>
    <x v="0"/>
    <x v="6"/>
    <n v="69326.102418586001"/>
    <n v="1998"/>
  </r>
  <r>
    <x v="2"/>
    <x v="3"/>
    <x v="0"/>
    <x v="7"/>
    <n v="63713.605606155499"/>
    <n v="1880"/>
  </r>
  <r>
    <x v="2"/>
    <x v="3"/>
    <x v="0"/>
    <x v="8"/>
    <n v="69831.398017664702"/>
    <n v="1976"/>
  </r>
  <r>
    <x v="2"/>
    <x v="3"/>
    <x v="0"/>
    <x v="9"/>
    <n v="68150.972572468701"/>
    <n v="1944"/>
  </r>
  <r>
    <x v="2"/>
    <x v="3"/>
    <x v="0"/>
    <x v="10"/>
    <n v="94818.9055448211"/>
    <n v="2706"/>
  </r>
  <r>
    <x v="2"/>
    <x v="3"/>
    <x v="0"/>
    <x v="11"/>
    <n v="74243.693862985398"/>
    <n v="2116"/>
  </r>
  <r>
    <x v="2"/>
    <x v="3"/>
    <x v="1"/>
    <x v="0"/>
    <n v="77273.694804218801"/>
    <n v="2181"/>
  </r>
  <r>
    <x v="2"/>
    <x v="3"/>
    <x v="1"/>
    <x v="1"/>
    <n v="93048.348049035296"/>
    <n v="2656"/>
  </r>
  <r>
    <x v="2"/>
    <x v="3"/>
    <x v="1"/>
    <x v="2"/>
    <n v="61039.137143276799"/>
    <n v="1706"/>
  </r>
  <r>
    <x v="2"/>
    <x v="3"/>
    <x v="1"/>
    <x v="3"/>
    <n v="96371.483188157101"/>
    <n v="2668"/>
  </r>
  <r>
    <x v="2"/>
    <x v="3"/>
    <x v="1"/>
    <x v="4"/>
    <n v="91179.253153100508"/>
    <n v="2624"/>
  </r>
  <r>
    <x v="2"/>
    <x v="3"/>
    <x v="1"/>
    <x v="5"/>
    <n v="83984.368640298198"/>
    <n v="2371"/>
  </r>
  <r>
    <x v="2"/>
    <x v="3"/>
    <x v="1"/>
    <x v="6"/>
    <n v="80467.667093022101"/>
    <n v="2246"/>
  </r>
  <r>
    <x v="2"/>
    <x v="3"/>
    <x v="1"/>
    <x v="7"/>
    <n v="80687.799143686294"/>
    <n v="2346"/>
  </r>
  <r>
    <x v="2"/>
    <x v="3"/>
    <x v="1"/>
    <x v="8"/>
    <n v="91560.597206435297"/>
    <n v="2637"/>
  </r>
  <r>
    <x v="2"/>
    <x v="3"/>
    <x v="1"/>
    <x v="9"/>
    <n v="84427.056924425298"/>
    <n v="2410"/>
  </r>
  <r>
    <x v="2"/>
    <x v="3"/>
    <x v="1"/>
    <x v="10"/>
    <n v="83652.848156286709"/>
    <n v="2330"/>
  </r>
  <r>
    <x v="2"/>
    <x v="3"/>
    <x v="1"/>
    <x v="11"/>
    <n v="88633.939384225698"/>
    <n v="2546"/>
  </r>
  <r>
    <x v="2"/>
    <x v="3"/>
    <x v="2"/>
    <x v="0"/>
    <n v="78690.187838323298"/>
    <n v="2272"/>
  </r>
  <r>
    <x v="2"/>
    <x v="3"/>
    <x v="2"/>
    <x v="1"/>
    <n v="79050.867024700798"/>
    <n v="2180"/>
  </r>
  <r>
    <x v="2"/>
    <x v="3"/>
    <x v="2"/>
    <x v="2"/>
    <n v="70640.562130257298"/>
    <n v="2028"/>
  </r>
  <r>
    <x v="2"/>
    <x v="3"/>
    <x v="2"/>
    <x v="3"/>
    <n v="93004.809860576788"/>
    <n v="2728"/>
  </r>
  <r>
    <x v="2"/>
    <x v="3"/>
    <x v="2"/>
    <x v="4"/>
    <n v="63207.902635633902"/>
    <n v="1838"/>
  </r>
  <r>
    <x v="2"/>
    <x v="3"/>
    <x v="2"/>
    <x v="5"/>
    <n v="93010.376983883107"/>
    <n v="2669"/>
  </r>
  <r>
    <x v="2"/>
    <x v="3"/>
    <x v="2"/>
    <x v="6"/>
    <n v="81661.701221946103"/>
    <n v="2317"/>
  </r>
  <r>
    <x v="2"/>
    <x v="3"/>
    <x v="2"/>
    <x v="7"/>
    <n v="71235.494753615698"/>
    <n v="2027"/>
  </r>
  <r>
    <x v="2"/>
    <x v="3"/>
    <x v="2"/>
    <x v="8"/>
    <n v="90762.003099267502"/>
    <n v="2581"/>
  </r>
  <r>
    <x v="2"/>
    <x v="3"/>
    <x v="2"/>
    <x v="9"/>
    <n v="82553.343217404006"/>
    <n v="2345"/>
  </r>
  <r>
    <x v="2"/>
    <x v="3"/>
    <x v="2"/>
    <x v="10"/>
    <n v="94659.873031925003"/>
    <n v="2694"/>
  </r>
  <r>
    <x v="2"/>
    <x v="3"/>
    <x v="2"/>
    <x v="11"/>
    <n v="73513.384774706297"/>
    <n v="2126"/>
  </r>
  <r>
    <x v="3"/>
    <x v="0"/>
    <x v="0"/>
    <x v="0"/>
    <n v="33822.377343369801"/>
    <n v="1129"/>
  </r>
  <r>
    <x v="3"/>
    <x v="0"/>
    <x v="0"/>
    <x v="1"/>
    <n v="45007.795314467512"/>
    <n v="1559"/>
  </r>
  <r>
    <x v="3"/>
    <x v="0"/>
    <x v="0"/>
    <x v="2"/>
    <n v="45382.727681860299"/>
    <n v="1532"/>
  </r>
  <r>
    <x v="3"/>
    <x v="0"/>
    <x v="0"/>
    <x v="3"/>
    <n v="44193.029644328599"/>
    <n v="1508"/>
  </r>
  <r>
    <x v="3"/>
    <x v="0"/>
    <x v="0"/>
    <x v="4"/>
    <n v="47308.630029974098"/>
    <n v="1536"/>
  </r>
  <r>
    <x v="3"/>
    <x v="0"/>
    <x v="0"/>
    <x v="5"/>
    <n v="54563.990245020999"/>
    <n v="1874"/>
  </r>
  <r>
    <x v="3"/>
    <x v="0"/>
    <x v="0"/>
    <x v="6"/>
    <n v="47981.065373267498"/>
    <n v="1642"/>
  </r>
  <r>
    <x v="3"/>
    <x v="0"/>
    <x v="0"/>
    <x v="7"/>
    <n v="43653.771260256603"/>
    <n v="1411"/>
  </r>
  <r>
    <x v="3"/>
    <x v="0"/>
    <x v="0"/>
    <x v="8"/>
    <n v="61967.384445879201"/>
    <n v="2075"/>
  </r>
  <r>
    <x v="3"/>
    <x v="0"/>
    <x v="0"/>
    <x v="9"/>
    <n v="38486.820246813382"/>
    <n v="1271"/>
  </r>
  <r>
    <x v="3"/>
    <x v="0"/>
    <x v="0"/>
    <x v="10"/>
    <n v="46858.685381507501"/>
    <n v="1505"/>
  </r>
  <r>
    <x v="3"/>
    <x v="0"/>
    <x v="0"/>
    <x v="11"/>
    <n v="59924.148646834998"/>
    <n v="1930"/>
  </r>
  <r>
    <x v="3"/>
    <x v="0"/>
    <x v="1"/>
    <x v="0"/>
    <n v="48329.929887243605"/>
    <n v="1626"/>
  </r>
  <r>
    <x v="3"/>
    <x v="0"/>
    <x v="1"/>
    <x v="1"/>
    <n v="52071.32681158436"/>
    <n v="1759"/>
  </r>
  <r>
    <x v="3"/>
    <x v="0"/>
    <x v="1"/>
    <x v="2"/>
    <n v="51027.6724329098"/>
    <n v="1681"/>
  </r>
  <r>
    <x v="3"/>
    <x v="0"/>
    <x v="1"/>
    <x v="3"/>
    <n v="65080.053210259503"/>
    <n v="2123"/>
  </r>
  <r>
    <x v="3"/>
    <x v="0"/>
    <x v="1"/>
    <x v="4"/>
    <n v="54439.525230355503"/>
    <n v="1768"/>
  </r>
  <r>
    <x v="3"/>
    <x v="0"/>
    <x v="1"/>
    <x v="5"/>
    <n v="58003.422517400599"/>
    <n v="1907"/>
  </r>
  <r>
    <x v="3"/>
    <x v="0"/>
    <x v="1"/>
    <x v="6"/>
    <n v="54351.278731145896"/>
    <n v="1836"/>
  </r>
  <r>
    <x v="3"/>
    <x v="0"/>
    <x v="1"/>
    <x v="7"/>
    <n v="39658.808559867335"/>
    <n v="1326"/>
  </r>
  <r>
    <x v="3"/>
    <x v="0"/>
    <x v="1"/>
    <x v="8"/>
    <n v="48816.171366857801"/>
    <n v="1643"/>
  </r>
  <r>
    <x v="3"/>
    <x v="0"/>
    <x v="1"/>
    <x v="9"/>
    <n v="55295.059911894496"/>
    <n v="1870"/>
  </r>
  <r>
    <x v="3"/>
    <x v="0"/>
    <x v="1"/>
    <x v="10"/>
    <n v="67566.862072948701"/>
    <n v="2242"/>
  </r>
  <r>
    <x v="3"/>
    <x v="0"/>
    <x v="1"/>
    <x v="11"/>
    <n v="48300.418950137697"/>
    <n v="1614"/>
  </r>
  <r>
    <x v="3"/>
    <x v="0"/>
    <x v="2"/>
    <x v="0"/>
    <n v="59098.517338869096"/>
    <n v="1976"/>
  </r>
  <r>
    <x v="3"/>
    <x v="0"/>
    <x v="2"/>
    <x v="1"/>
    <n v="45558.024554397678"/>
    <n v="1484"/>
  </r>
  <r>
    <x v="3"/>
    <x v="0"/>
    <x v="2"/>
    <x v="2"/>
    <n v="40941.092870766297"/>
    <n v="1408"/>
  </r>
  <r>
    <x v="3"/>
    <x v="0"/>
    <x v="2"/>
    <x v="3"/>
    <n v="71031.108750107203"/>
    <n v="2316"/>
  </r>
  <r>
    <x v="3"/>
    <x v="0"/>
    <x v="2"/>
    <x v="4"/>
    <n v="53876.930803867501"/>
    <n v="1761"/>
  </r>
  <r>
    <x v="3"/>
    <x v="0"/>
    <x v="2"/>
    <x v="5"/>
    <n v="52691.333662651901"/>
    <n v="1802"/>
  </r>
  <r>
    <x v="3"/>
    <x v="0"/>
    <x v="2"/>
    <x v="6"/>
    <n v="62089.310552007999"/>
    <n v="2131"/>
  </r>
  <r>
    <x v="3"/>
    <x v="0"/>
    <x v="2"/>
    <x v="7"/>
    <n v="48533.2877547237"/>
    <n v="1598"/>
  </r>
  <r>
    <x v="3"/>
    <x v="0"/>
    <x v="2"/>
    <x v="8"/>
    <n v="50369.189905934792"/>
    <n v="1638"/>
  </r>
  <r>
    <x v="3"/>
    <x v="0"/>
    <x v="2"/>
    <x v="9"/>
    <n v="59172.6057803886"/>
    <n v="2024"/>
  </r>
  <r>
    <x v="3"/>
    <x v="0"/>
    <x v="2"/>
    <x v="10"/>
    <n v="49310.160042591102"/>
    <n v="1648"/>
  </r>
  <r>
    <x v="3"/>
    <x v="0"/>
    <x v="2"/>
    <x v="11"/>
    <n v="72921.301964283804"/>
    <n v="2443"/>
  </r>
  <r>
    <x v="3"/>
    <x v="1"/>
    <x v="0"/>
    <x v="0"/>
    <n v="55612.664546188898"/>
    <n v="1855"/>
  </r>
  <r>
    <x v="3"/>
    <x v="1"/>
    <x v="0"/>
    <x v="1"/>
    <n v="64892.940329946505"/>
    <n v="2136"/>
  </r>
  <r>
    <x v="3"/>
    <x v="1"/>
    <x v="0"/>
    <x v="2"/>
    <n v="50637.194719314401"/>
    <n v="1713"/>
  </r>
  <r>
    <x v="3"/>
    <x v="1"/>
    <x v="0"/>
    <x v="3"/>
    <n v="69652.941741106595"/>
    <n v="2276"/>
  </r>
  <r>
    <x v="3"/>
    <x v="1"/>
    <x v="0"/>
    <x v="4"/>
    <n v="57310.685436186199"/>
    <n v="1907"/>
  </r>
  <r>
    <x v="3"/>
    <x v="1"/>
    <x v="0"/>
    <x v="5"/>
    <n v="66581.74766204301"/>
    <n v="2212"/>
  </r>
  <r>
    <x v="3"/>
    <x v="1"/>
    <x v="0"/>
    <x v="6"/>
    <n v="62896.464745318503"/>
    <n v="2057"/>
  </r>
  <r>
    <x v="3"/>
    <x v="1"/>
    <x v="0"/>
    <x v="7"/>
    <n v="73175.849052597507"/>
    <n v="2461"/>
  </r>
  <r>
    <x v="3"/>
    <x v="1"/>
    <x v="0"/>
    <x v="8"/>
    <n v="64315.286107884094"/>
    <n v="2090"/>
  </r>
  <r>
    <x v="3"/>
    <x v="1"/>
    <x v="0"/>
    <x v="9"/>
    <n v="67071.584534535708"/>
    <n v="2191"/>
  </r>
  <r>
    <x v="3"/>
    <x v="1"/>
    <x v="0"/>
    <x v="10"/>
    <n v="60065.961561192002"/>
    <n v="2021"/>
  </r>
  <r>
    <x v="3"/>
    <x v="1"/>
    <x v="0"/>
    <x v="11"/>
    <n v="75246.832345960502"/>
    <n v="2570"/>
  </r>
  <r>
    <x v="3"/>
    <x v="1"/>
    <x v="1"/>
    <x v="0"/>
    <n v="59267.640693603498"/>
    <n v="2015"/>
  </r>
  <r>
    <x v="3"/>
    <x v="1"/>
    <x v="1"/>
    <x v="1"/>
    <n v="52774.867321960905"/>
    <n v="1735"/>
  </r>
  <r>
    <x v="3"/>
    <x v="1"/>
    <x v="1"/>
    <x v="2"/>
    <n v="56322.659562014698"/>
    <n v="1900"/>
  </r>
  <r>
    <x v="3"/>
    <x v="1"/>
    <x v="1"/>
    <x v="3"/>
    <n v="62346.350820564097"/>
    <n v="2055"/>
  </r>
  <r>
    <x v="3"/>
    <x v="1"/>
    <x v="1"/>
    <x v="4"/>
    <n v="79372.333645268794"/>
    <n v="2581"/>
  </r>
  <r>
    <x v="3"/>
    <x v="1"/>
    <x v="1"/>
    <x v="5"/>
    <n v="66463.490514485107"/>
    <n v="2205"/>
  </r>
  <r>
    <x v="3"/>
    <x v="1"/>
    <x v="1"/>
    <x v="6"/>
    <n v="55429.238409165104"/>
    <n v="1897"/>
  </r>
  <r>
    <x v="3"/>
    <x v="1"/>
    <x v="1"/>
    <x v="7"/>
    <n v="61205.448425930896"/>
    <n v="1981"/>
  </r>
  <r>
    <x v="3"/>
    <x v="1"/>
    <x v="1"/>
    <x v="8"/>
    <n v="48906.475658008399"/>
    <n v="1595"/>
  </r>
  <r>
    <x v="3"/>
    <x v="1"/>
    <x v="1"/>
    <x v="9"/>
    <n v="66751.874413847196"/>
    <n v="2223"/>
  </r>
  <r>
    <x v="3"/>
    <x v="1"/>
    <x v="1"/>
    <x v="10"/>
    <n v="73507.851090347394"/>
    <n v="2516"/>
  </r>
  <r>
    <x v="3"/>
    <x v="1"/>
    <x v="1"/>
    <x v="11"/>
    <n v="53282.280467958204"/>
    <n v="1757"/>
  </r>
  <r>
    <x v="3"/>
    <x v="1"/>
    <x v="2"/>
    <x v="0"/>
    <n v="53660.639271255408"/>
    <n v="1790"/>
  </r>
  <r>
    <x v="3"/>
    <x v="1"/>
    <x v="2"/>
    <x v="1"/>
    <n v="59475.233611133503"/>
    <n v="2028"/>
  </r>
  <r>
    <x v="3"/>
    <x v="1"/>
    <x v="2"/>
    <x v="2"/>
    <n v="54855.866228115097"/>
    <n v="1850"/>
  </r>
  <r>
    <x v="3"/>
    <x v="1"/>
    <x v="2"/>
    <x v="3"/>
    <n v="68957.455694495904"/>
    <n v="2276"/>
  </r>
  <r>
    <x v="3"/>
    <x v="1"/>
    <x v="2"/>
    <x v="4"/>
    <n v="50629.464311957396"/>
    <n v="1697"/>
  </r>
  <r>
    <x v="3"/>
    <x v="1"/>
    <x v="2"/>
    <x v="5"/>
    <n v="72600.016142483102"/>
    <n v="2384"/>
  </r>
  <r>
    <x v="3"/>
    <x v="1"/>
    <x v="2"/>
    <x v="6"/>
    <n v="84224.368266461199"/>
    <n v="2808"/>
  </r>
  <r>
    <x v="3"/>
    <x v="1"/>
    <x v="2"/>
    <x v="7"/>
    <n v="74047.761895292904"/>
    <n v="2484"/>
  </r>
  <r>
    <x v="3"/>
    <x v="1"/>
    <x v="2"/>
    <x v="8"/>
    <n v="68377.621261792199"/>
    <n v="2282"/>
  </r>
  <r>
    <x v="3"/>
    <x v="1"/>
    <x v="2"/>
    <x v="9"/>
    <n v="79186.288446825405"/>
    <n v="2592"/>
  </r>
  <r>
    <x v="3"/>
    <x v="1"/>
    <x v="2"/>
    <x v="10"/>
    <n v="62897.379841052301"/>
    <n v="2099"/>
  </r>
  <r>
    <x v="3"/>
    <x v="1"/>
    <x v="2"/>
    <x v="11"/>
    <n v="65321.171935607097"/>
    <n v="2123"/>
  </r>
  <r>
    <x v="3"/>
    <x v="2"/>
    <x v="0"/>
    <x v="0"/>
    <n v="29810.77018876743"/>
    <n v="1012"/>
  </r>
  <r>
    <x v="3"/>
    <x v="2"/>
    <x v="0"/>
    <x v="1"/>
    <n v="36288.347280751434"/>
    <n v="1186"/>
  </r>
  <r>
    <x v="3"/>
    <x v="2"/>
    <x v="0"/>
    <x v="2"/>
    <n v="43108.3815933109"/>
    <n v="1421"/>
  </r>
  <r>
    <x v="3"/>
    <x v="2"/>
    <x v="0"/>
    <x v="3"/>
    <n v="41351.829806670066"/>
    <n v="1420"/>
  </r>
  <r>
    <x v="3"/>
    <x v="2"/>
    <x v="0"/>
    <x v="4"/>
    <n v="39113.492804011505"/>
    <n v="1277"/>
  </r>
  <r>
    <x v="3"/>
    <x v="2"/>
    <x v="0"/>
    <x v="5"/>
    <n v="44235.446168431299"/>
    <n v="1451"/>
  </r>
  <r>
    <x v="3"/>
    <x v="2"/>
    <x v="0"/>
    <x v="6"/>
    <n v="32724.184050824479"/>
    <n v="1089"/>
  </r>
  <r>
    <x v="3"/>
    <x v="2"/>
    <x v="0"/>
    <x v="7"/>
    <n v="31942.099882752689"/>
    <n v="1088"/>
  </r>
  <r>
    <x v="3"/>
    <x v="2"/>
    <x v="0"/>
    <x v="8"/>
    <n v="25370.889060597601"/>
    <n v="848"/>
  </r>
  <r>
    <x v="3"/>
    <x v="2"/>
    <x v="0"/>
    <x v="9"/>
    <n v="36954.876403188799"/>
    <n v="1237"/>
  </r>
  <r>
    <x v="3"/>
    <x v="2"/>
    <x v="0"/>
    <x v="10"/>
    <n v="38748.875443972953"/>
    <n v="1280"/>
  </r>
  <r>
    <x v="3"/>
    <x v="2"/>
    <x v="0"/>
    <x v="11"/>
    <n v="43223.205188927735"/>
    <n v="1446"/>
  </r>
  <r>
    <x v="3"/>
    <x v="2"/>
    <x v="1"/>
    <x v="0"/>
    <n v="43437.507718328408"/>
    <n v="1420"/>
  </r>
  <r>
    <x v="3"/>
    <x v="2"/>
    <x v="1"/>
    <x v="1"/>
    <n v="45938.498467323399"/>
    <n v="1565"/>
  </r>
  <r>
    <x v="3"/>
    <x v="2"/>
    <x v="1"/>
    <x v="2"/>
    <n v="35980.309472726978"/>
    <n v="1211"/>
  </r>
  <r>
    <x v="3"/>
    <x v="2"/>
    <x v="1"/>
    <x v="3"/>
    <n v="37951.229647213171"/>
    <n v="1256"/>
  </r>
  <r>
    <x v="3"/>
    <x v="2"/>
    <x v="1"/>
    <x v="4"/>
    <n v="38385.736933440698"/>
    <n v="1308"/>
  </r>
  <r>
    <x v="3"/>
    <x v="2"/>
    <x v="1"/>
    <x v="5"/>
    <n v="44490.395325402103"/>
    <n v="1483"/>
  </r>
  <r>
    <x v="3"/>
    <x v="2"/>
    <x v="1"/>
    <x v="6"/>
    <n v="36375.983375258322"/>
    <n v="1223"/>
  </r>
  <r>
    <x v="3"/>
    <x v="2"/>
    <x v="1"/>
    <x v="7"/>
    <n v="42647.684720102501"/>
    <n v="1425"/>
  </r>
  <r>
    <x v="3"/>
    <x v="2"/>
    <x v="1"/>
    <x v="8"/>
    <n v="38885.015691006804"/>
    <n v="1302"/>
  </r>
  <r>
    <x v="3"/>
    <x v="2"/>
    <x v="1"/>
    <x v="9"/>
    <n v="42117.582902771239"/>
    <n v="1404"/>
  </r>
  <r>
    <x v="3"/>
    <x v="2"/>
    <x v="1"/>
    <x v="10"/>
    <n v="44249.517950337802"/>
    <n v="1419"/>
  </r>
  <r>
    <x v="3"/>
    <x v="2"/>
    <x v="1"/>
    <x v="11"/>
    <n v="40517.947298005645"/>
    <n v="1352"/>
  </r>
  <r>
    <x v="3"/>
    <x v="2"/>
    <x v="2"/>
    <x v="0"/>
    <n v="37300.813609445002"/>
    <n v="1255"/>
  </r>
  <r>
    <x v="3"/>
    <x v="2"/>
    <x v="2"/>
    <x v="1"/>
    <n v="31017.725430986382"/>
    <n v="1067"/>
  </r>
  <r>
    <x v="3"/>
    <x v="2"/>
    <x v="2"/>
    <x v="2"/>
    <n v="45947.988183586203"/>
    <n v="1557"/>
  </r>
  <r>
    <x v="3"/>
    <x v="2"/>
    <x v="2"/>
    <x v="3"/>
    <n v="33869.997089584664"/>
    <n v="1119"/>
  </r>
  <r>
    <x v="3"/>
    <x v="2"/>
    <x v="2"/>
    <x v="4"/>
    <n v="35696.005869305729"/>
    <n v="1171"/>
  </r>
  <r>
    <x v="3"/>
    <x v="2"/>
    <x v="2"/>
    <x v="5"/>
    <n v="44314.335359305871"/>
    <n v="1476"/>
  </r>
  <r>
    <x v="3"/>
    <x v="2"/>
    <x v="2"/>
    <x v="6"/>
    <n v="30192.638019041413"/>
    <n v="991"/>
  </r>
  <r>
    <x v="3"/>
    <x v="2"/>
    <x v="2"/>
    <x v="7"/>
    <n v="40531.6478809705"/>
    <n v="1364"/>
  </r>
  <r>
    <x v="3"/>
    <x v="2"/>
    <x v="2"/>
    <x v="8"/>
    <n v="32240.727842016648"/>
    <n v="1072"/>
  </r>
  <r>
    <x v="3"/>
    <x v="2"/>
    <x v="2"/>
    <x v="9"/>
    <n v="42352.984589617001"/>
    <n v="1439"/>
  </r>
  <r>
    <x v="3"/>
    <x v="2"/>
    <x v="2"/>
    <x v="10"/>
    <n v="36002.8518130593"/>
    <n v="1182"/>
  </r>
  <r>
    <x v="3"/>
    <x v="2"/>
    <x v="2"/>
    <x v="11"/>
    <n v="40728.545282527324"/>
    <n v="1381"/>
  </r>
  <r>
    <x v="3"/>
    <x v="3"/>
    <x v="0"/>
    <x v="0"/>
    <n v="36306.2646071208"/>
    <n v="1202"/>
  </r>
  <r>
    <x v="3"/>
    <x v="3"/>
    <x v="0"/>
    <x v="1"/>
    <n v="48448.496639319281"/>
    <n v="1635"/>
  </r>
  <r>
    <x v="3"/>
    <x v="3"/>
    <x v="0"/>
    <x v="2"/>
    <n v="48667.129043523702"/>
    <n v="1605"/>
  </r>
  <r>
    <x v="3"/>
    <x v="3"/>
    <x v="0"/>
    <x v="3"/>
    <n v="41646.814283668034"/>
    <n v="1410"/>
  </r>
  <r>
    <x v="3"/>
    <x v="3"/>
    <x v="0"/>
    <x v="4"/>
    <n v="47570.580791710803"/>
    <n v="1604"/>
  </r>
  <r>
    <x v="3"/>
    <x v="3"/>
    <x v="0"/>
    <x v="5"/>
    <n v="48057.047163883064"/>
    <n v="1579"/>
  </r>
  <r>
    <x v="3"/>
    <x v="3"/>
    <x v="0"/>
    <x v="6"/>
    <n v="45383.788615018202"/>
    <n v="1469"/>
  </r>
  <r>
    <x v="3"/>
    <x v="3"/>
    <x v="0"/>
    <x v="7"/>
    <n v="44431.873355048003"/>
    <n v="1489"/>
  </r>
  <r>
    <x v="3"/>
    <x v="3"/>
    <x v="0"/>
    <x v="8"/>
    <n v="51721.377781691444"/>
    <n v="1740"/>
  </r>
  <r>
    <x v="3"/>
    <x v="3"/>
    <x v="0"/>
    <x v="9"/>
    <n v="56490.761505846902"/>
    <n v="1932"/>
  </r>
  <r>
    <x v="3"/>
    <x v="3"/>
    <x v="0"/>
    <x v="10"/>
    <n v="40991.430860674896"/>
    <n v="1342"/>
  </r>
  <r>
    <x v="3"/>
    <x v="3"/>
    <x v="0"/>
    <x v="11"/>
    <n v="55393.7310405811"/>
    <n v="1848"/>
  </r>
  <r>
    <x v="3"/>
    <x v="3"/>
    <x v="1"/>
    <x v="0"/>
    <n v="60777.882965260607"/>
    <n v="1967"/>
  </r>
  <r>
    <x v="3"/>
    <x v="3"/>
    <x v="1"/>
    <x v="1"/>
    <n v="37006.579151281148"/>
    <n v="1213"/>
  </r>
  <r>
    <x v="3"/>
    <x v="3"/>
    <x v="1"/>
    <x v="2"/>
    <n v="50755.150453467897"/>
    <n v="1718"/>
  </r>
  <r>
    <x v="3"/>
    <x v="3"/>
    <x v="1"/>
    <x v="3"/>
    <n v="54138.6510781947"/>
    <n v="1791"/>
  </r>
  <r>
    <x v="3"/>
    <x v="3"/>
    <x v="1"/>
    <x v="4"/>
    <n v="57957.905056000403"/>
    <n v="1929"/>
  </r>
  <r>
    <x v="3"/>
    <x v="3"/>
    <x v="1"/>
    <x v="5"/>
    <n v="52438.988445101801"/>
    <n v="1791"/>
  </r>
  <r>
    <x v="3"/>
    <x v="3"/>
    <x v="1"/>
    <x v="6"/>
    <n v="36549.761514079299"/>
    <n v="1218"/>
  </r>
  <r>
    <x v="3"/>
    <x v="3"/>
    <x v="1"/>
    <x v="7"/>
    <n v="57916.071251124187"/>
    <n v="1906"/>
  </r>
  <r>
    <x v="3"/>
    <x v="3"/>
    <x v="1"/>
    <x v="8"/>
    <n v="36087.4799144387"/>
    <n v="1170"/>
  </r>
  <r>
    <x v="3"/>
    <x v="3"/>
    <x v="1"/>
    <x v="9"/>
    <n v="61584.284744432196"/>
    <n v="2019"/>
  </r>
  <r>
    <x v="3"/>
    <x v="3"/>
    <x v="1"/>
    <x v="10"/>
    <n v="51262.840330591898"/>
    <n v="1740"/>
  </r>
  <r>
    <x v="3"/>
    <x v="3"/>
    <x v="1"/>
    <x v="11"/>
    <n v="53061.145339112903"/>
    <n v="1796"/>
  </r>
  <r>
    <x v="3"/>
    <x v="3"/>
    <x v="2"/>
    <x v="0"/>
    <n v="37236.954215572601"/>
    <n v="1283"/>
  </r>
  <r>
    <x v="3"/>
    <x v="3"/>
    <x v="2"/>
    <x v="1"/>
    <n v="39890.823192860902"/>
    <n v="1345"/>
  </r>
  <r>
    <x v="3"/>
    <x v="3"/>
    <x v="2"/>
    <x v="2"/>
    <n v="56059.863693895299"/>
    <n v="1897"/>
  </r>
  <r>
    <x v="3"/>
    <x v="3"/>
    <x v="2"/>
    <x v="3"/>
    <n v="55584.153724845899"/>
    <n v="1851"/>
  </r>
  <r>
    <x v="3"/>
    <x v="3"/>
    <x v="2"/>
    <x v="4"/>
    <n v="53464.657421682205"/>
    <n v="1783"/>
  </r>
  <r>
    <x v="3"/>
    <x v="3"/>
    <x v="2"/>
    <x v="5"/>
    <n v="51779.425398241001"/>
    <n v="1719"/>
  </r>
  <r>
    <x v="3"/>
    <x v="3"/>
    <x v="2"/>
    <x v="6"/>
    <n v="46572.873566941984"/>
    <n v="1523"/>
  </r>
  <r>
    <x v="3"/>
    <x v="3"/>
    <x v="2"/>
    <x v="7"/>
    <n v="39969.516574253299"/>
    <n v="1355"/>
  </r>
  <r>
    <x v="3"/>
    <x v="3"/>
    <x v="2"/>
    <x v="8"/>
    <n v="42705.7549313852"/>
    <n v="1434"/>
  </r>
  <r>
    <x v="3"/>
    <x v="3"/>
    <x v="2"/>
    <x v="9"/>
    <n v="44347.829711569997"/>
    <n v="1480"/>
  </r>
  <r>
    <x v="3"/>
    <x v="3"/>
    <x v="2"/>
    <x v="10"/>
    <n v="42711.925180331105"/>
    <n v="1418"/>
  </r>
  <r>
    <x v="3"/>
    <x v="3"/>
    <x v="2"/>
    <x v="11"/>
    <n v="49299.651537374099"/>
    <n v="16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1"/>
    <n v="444382.92505677784"/>
    <n v="10870"/>
  </r>
  <r>
    <x v="0"/>
    <x v="0"/>
    <n v="2"/>
    <n v="425516.57814906095"/>
    <n v="10219"/>
  </r>
  <r>
    <x v="0"/>
    <x v="0"/>
    <n v="3"/>
    <n v="429725.60980350181"/>
    <n v="10376"/>
  </r>
  <r>
    <x v="0"/>
    <x v="0"/>
    <n v="4"/>
    <n v="533203.80134214391"/>
    <n v="12565"/>
  </r>
  <r>
    <x v="0"/>
    <x v="0"/>
    <n v="5"/>
    <n v="491817.20601008"/>
    <n v="12182"/>
  </r>
  <r>
    <x v="0"/>
    <x v="0"/>
    <n v="6"/>
    <n v="488218.32326729904"/>
    <n v="11592"/>
  </r>
  <r>
    <x v="0"/>
    <x v="0"/>
    <n v="7"/>
    <n v="396407.29330760997"/>
    <n v="9721"/>
  </r>
  <r>
    <x v="0"/>
    <x v="0"/>
    <n v="8"/>
    <n v="450782.40377018473"/>
    <n v="10869"/>
  </r>
  <r>
    <x v="0"/>
    <x v="0"/>
    <n v="9"/>
    <n v="406021.27381405968"/>
    <n v="10095"/>
  </r>
  <r>
    <x v="0"/>
    <x v="0"/>
    <n v="10"/>
    <n v="482174.92318906367"/>
    <n v="11709"/>
  </r>
  <r>
    <x v="0"/>
    <x v="0"/>
    <n v="11"/>
    <n v="594174.48106288561"/>
    <n v="14186"/>
  </r>
  <r>
    <x v="0"/>
    <x v="0"/>
    <n v="12"/>
    <n v="544208.91129803623"/>
    <n v="13224"/>
  </r>
  <r>
    <x v="0"/>
    <x v="1"/>
    <n v="1"/>
    <n v="435696.97444569453"/>
    <n v="10569"/>
  </r>
  <r>
    <x v="0"/>
    <x v="1"/>
    <n v="2"/>
    <n v="472098.08137435949"/>
    <n v="11524"/>
  </r>
  <r>
    <x v="0"/>
    <x v="1"/>
    <n v="3"/>
    <n v="448387.01941743051"/>
    <n v="11101"/>
  </r>
  <r>
    <x v="0"/>
    <x v="1"/>
    <n v="4"/>
    <n v="528241.76680010743"/>
    <n v="12816"/>
  </r>
  <r>
    <x v="0"/>
    <x v="1"/>
    <n v="5"/>
    <n v="512710.38823114533"/>
    <n v="12535"/>
  </r>
  <r>
    <x v="0"/>
    <x v="1"/>
    <n v="6"/>
    <n v="496426.31323395809"/>
    <n v="12072"/>
  </r>
  <r>
    <x v="0"/>
    <x v="1"/>
    <n v="7"/>
    <n v="462257.19641359389"/>
    <n v="11184"/>
  </r>
  <r>
    <x v="0"/>
    <x v="1"/>
    <n v="8"/>
    <n v="475561.95763913298"/>
    <n v="11370"/>
  </r>
  <r>
    <x v="0"/>
    <x v="1"/>
    <n v="9"/>
    <n v="466426.3109292523"/>
    <n v="11277"/>
  </r>
  <r>
    <x v="0"/>
    <x v="1"/>
    <n v="10"/>
    <n v="504644.28905867541"/>
    <n v="12269"/>
  </r>
  <r>
    <x v="0"/>
    <x v="1"/>
    <n v="11"/>
    <n v="490076.4209286478"/>
    <n v="11907"/>
  </r>
  <r>
    <x v="0"/>
    <x v="1"/>
    <n v="12"/>
    <n v="520050.97043984424"/>
    <n v="12318"/>
  </r>
  <r>
    <x v="0"/>
    <x v="2"/>
    <n v="1"/>
    <n v="466207.88256310258"/>
    <n v="11453"/>
  </r>
  <r>
    <x v="0"/>
    <x v="2"/>
    <n v="2"/>
    <n v="475537.64043969737"/>
    <n v="11988"/>
  </r>
  <r>
    <x v="0"/>
    <x v="2"/>
    <n v="3"/>
    <n v="485722.44397590338"/>
    <n v="11956"/>
  </r>
  <r>
    <x v="0"/>
    <x v="2"/>
    <n v="4"/>
    <n v="449652.88518133917"/>
    <n v="11011"/>
  </r>
  <r>
    <x v="0"/>
    <x v="2"/>
    <n v="5"/>
    <n v="533717.438571173"/>
    <n v="12818"/>
  </r>
  <r>
    <x v="0"/>
    <x v="2"/>
    <n v="6"/>
    <n v="545893.14066399366"/>
    <n v="13032"/>
  </r>
  <r>
    <x v="0"/>
    <x v="2"/>
    <n v="7"/>
    <n v="457306.16701469215"/>
    <n v="11208"/>
  </r>
  <r>
    <x v="0"/>
    <x v="2"/>
    <n v="8"/>
    <n v="443556.69119361619"/>
    <n v="10972"/>
  </r>
  <r>
    <x v="0"/>
    <x v="2"/>
    <n v="9"/>
    <n v="454155.94463112758"/>
    <n v="11109"/>
  </r>
  <r>
    <x v="0"/>
    <x v="2"/>
    <n v="10"/>
    <n v="498224.15408089379"/>
    <n v="12150"/>
  </r>
  <r>
    <x v="0"/>
    <x v="2"/>
    <n v="11"/>
    <n v="489167.89358707127"/>
    <n v="11943"/>
  </r>
  <r>
    <x v="0"/>
    <x v="2"/>
    <n v="12"/>
    <n v="457029.06069561501"/>
    <n v="11177"/>
  </r>
  <r>
    <x v="1"/>
    <x v="0"/>
    <n v="1"/>
    <n v="477533.79163310985"/>
    <n v="11766"/>
  </r>
  <r>
    <x v="1"/>
    <x v="0"/>
    <n v="2"/>
    <n v="529331.17972923175"/>
    <n v="12977"/>
  </r>
  <r>
    <x v="1"/>
    <x v="0"/>
    <n v="3"/>
    <n v="568304.26818367268"/>
    <n v="13537"/>
  </r>
  <r>
    <x v="1"/>
    <x v="0"/>
    <n v="4"/>
    <n v="602192.4078776777"/>
    <n v="14737"/>
  </r>
  <r>
    <x v="1"/>
    <x v="0"/>
    <n v="5"/>
    <n v="678447.40643065667"/>
    <n v="16019"/>
  </r>
  <r>
    <x v="1"/>
    <x v="0"/>
    <n v="6"/>
    <n v="628155.249275423"/>
    <n v="15144"/>
  </r>
  <r>
    <x v="1"/>
    <x v="0"/>
    <n v="7"/>
    <n v="572105.56558240205"/>
    <n v="13722"/>
  </r>
  <r>
    <x v="1"/>
    <x v="0"/>
    <n v="8"/>
    <n v="554519.56668867252"/>
    <n v="13576"/>
  </r>
  <r>
    <x v="1"/>
    <x v="0"/>
    <n v="9"/>
    <n v="609094.35441151483"/>
    <n v="14677"/>
  </r>
  <r>
    <x v="1"/>
    <x v="0"/>
    <n v="10"/>
    <n v="538611.48071259586"/>
    <n v="13214"/>
  </r>
  <r>
    <x v="1"/>
    <x v="0"/>
    <n v="11"/>
    <n v="641032.30717927834"/>
    <n v="15438"/>
  </r>
  <r>
    <x v="1"/>
    <x v="0"/>
    <n v="12"/>
    <n v="574832.4353754305"/>
    <n v="13845"/>
  </r>
  <r>
    <x v="1"/>
    <x v="1"/>
    <n v="1"/>
    <n v="537536.74148505088"/>
    <n v="13270"/>
  </r>
  <r>
    <x v="1"/>
    <x v="1"/>
    <n v="2"/>
    <n v="522221.33952591312"/>
    <n v="12986"/>
  </r>
  <r>
    <x v="1"/>
    <x v="1"/>
    <n v="3"/>
    <n v="578474.06570592697"/>
    <n v="14207"/>
  </r>
  <r>
    <x v="1"/>
    <x v="1"/>
    <n v="4"/>
    <n v="665188.30899360543"/>
    <n v="16068"/>
  </r>
  <r>
    <x v="1"/>
    <x v="1"/>
    <n v="5"/>
    <n v="652084.79609890864"/>
    <n v="15925"/>
  </r>
  <r>
    <x v="1"/>
    <x v="1"/>
    <n v="6"/>
    <n v="608761.30785270932"/>
    <n v="14838"/>
  </r>
  <r>
    <x v="1"/>
    <x v="1"/>
    <n v="7"/>
    <n v="568420.44970873569"/>
    <n v="13943"/>
  </r>
  <r>
    <x v="1"/>
    <x v="1"/>
    <n v="8"/>
    <n v="611962.32803076506"/>
    <n v="14329"/>
  </r>
  <r>
    <x v="1"/>
    <x v="1"/>
    <n v="9"/>
    <n v="582686.31192065601"/>
    <n v="14074"/>
  </r>
  <r>
    <x v="1"/>
    <x v="1"/>
    <n v="10"/>
    <n v="669422.05307983712"/>
    <n v="15952"/>
  </r>
  <r>
    <x v="1"/>
    <x v="1"/>
    <n v="11"/>
    <n v="675359.94377295289"/>
    <n v="16481"/>
  </r>
  <r>
    <x v="1"/>
    <x v="1"/>
    <n v="12"/>
    <n v="585754.25708618097"/>
    <n v="14275"/>
  </r>
  <r>
    <x v="1"/>
    <x v="2"/>
    <n v="1"/>
    <n v="578573.71760895278"/>
    <n v="14377"/>
  </r>
  <r>
    <x v="1"/>
    <x v="2"/>
    <n v="2"/>
    <n v="519350.06967743102"/>
    <n v="12848"/>
  </r>
  <r>
    <x v="1"/>
    <x v="2"/>
    <n v="3"/>
    <n v="577392.24614493991"/>
    <n v="13960"/>
  </r>
  <r>
    <x v="1"/>
    <x v="2"/>
    <n v="4"/>
    <n v="606663.41322585091"/>
    <n v="14617"/>
  </r>
  <r>
    <x v="1"/>
    <x v="2"/>
    <n v="5"/>
    <n v="595801.27000616502"/>
    <n v="14458"/>
  </r>
  <r>
    <x v="1"/>
    <x v="2"/>
    <n v="6"/>
    <n v="705289.59109211212"/>
    <n v="17482"/>
  </r>
  <r>
    <x v="1"/>
    <x v="2"/>
    <n v="7"/>
    <n v="643486.84970568004"/>
    <n v="15872"/>
  </r>
  <r>
    <x v="1"/>
    <x v="2"/>
    <n v="8"/>
    <n v="550580.10305665969"/>
    <n v="13125"/>
  </r>
  <r>
    <x v="1"/>
    <x v="2"/>
    <n v="9"/>
    <n v="617480.79356707539"/>
    <n v="14978"/>
  </r>
  <r>
    <x v="1"/>
    <x v="2"/>
    <n v="10"/>
    <n v="713835.26317570976"/>
    <n v="17034"/>
  </r>
  <r>
    <x v="1"/>
    <x v="2"/>
    <n v="11"/>
    <n v="600382.63413441356"/>
    <n v="14302"/>
  </r>
  <r>
    <x v="1"/>
    <x v="2"/>
    <n v="12"/>
    <n v="721463.17028952891"/>
    <n v="17661"/>
  </r>
  <r>
    <x v="2"/>
    <x v="0"/>
    <n v="1"/>
    <n v="706482.44619174674"/>
    <n v="17059"/>
  </r>
  <r>
    <x v="2"/>
    <x v="0"/>
    <n v="2"/>
    <n v="753937.18379402242"/>
    <n v="18811"/>
  </r>
  <r>
    <x v="2"/>
    <x v="0"/>
    <n v="3"/>
    <n v="681184.38253711443"/>
    <n v="16110"/>
  </r>
  <r>
    <x v="2"/>
    <x v="0"/>
    <n v="4"/>
    <n v="847180.38292999472"/>
    <n v="20717"/>
  </r>
  <r>
    <x v="2"/>
    <x v="0"/>
    <n v="5"/>
    <n v="903053.58138898178"/>
    <n v="21703"/>
  </r>
  <r>
    <x v="2"/>
    <x v="0"/>
    <n v="6"/>
    <n v="807438.0420214124"/>
    <n v="19425"/>
  </r>
  <r>
    <x v="2"/>
    <x v="0"/>
    <n v="7"/>
    <n v="590370.43629474065"/>
    <n v="14654"/>
  </r>
  <r>
    <x v="2"/>
    <x v="0"/>
    <n v="8"/>
    <n v="702673.08986294025"/>
    <n v="17442"/>
  </r>
  <r>
    <x v="2"/>
    <x v="0"/>
    <n v="9"/>
    <n v="665670.08477547171"/>
    <n v="16217"/>
  </r>
  <r>
    <x v="2"/>
    <x v="0"/>
    <n v="10"/>
    <n v="785614.62569152145"/>
    <n v="19148"/>
  </r>
  <r>
    <x v="2"/>
    <x v="0"/>
    <n v="11"/>
    <n v="732176.57371968974"/>
    <n v="17782"/>
  </r>
  <r>
    <x v="2"/>
    <x v="0"/>
    <n v="12"/>
    <n v="786549.05034963787"/>
    <n v="19200"/>
  </r>
  <r>
    <x v="2"/>
    <x v="1"/>
    <n v="1"/>
    <n v="726074.02949985303"/>
    <n v="17686"/>
  </r>
  <r>
    <x v="2"/>
    <x v="1"/>
    <n v="2"/>
    <n v="759406.62062071916"/>
    <n v="18433"/>
  </r>
  <r>
    <x v="2"/>
    <x v="1"/>
    <n v="3"/>
    <n v="732563.67023133743"/>
    <n v="17862"/>
  </r>
  <r>
    <x v="2"/>
    <x v="1"/>
    <n v="4"/>
    <n v="869191.32511891017"/>
    <n v="20937"/>
  </r>
  <r>
    <x v="2"/>
    <x v="1"/>
    <n v="5"/>
    <n v="824962.04611089698"/>
    <n v="19943"/>
  </r>
  <r>
    <x v="2"/>
    <x v="1"/>
    <n v="6"/>
    <n v="1010964.7552160099"/>
    <n v="24205"/>
  </r>
  <r>
    <x v="2"/>
    <x v="1"/>
    <n v="7"/>
    <n v="723486.28144130821"/>
    <n v="17844"/>
  </r>
  <r>
    <x v="2"/>
    <x v="1"/>
    <n v="8"/>
    <n v="795595.47325981199"/>
    <n v="19505"/>
  </r>
  <r>
    <x v="2"/>
    <x v="1"/>
    <n v="9"/>
    <n v="619617.34632872907"/>
    <n v="15352"/>
  </r>
  <r>
    <x v="2"/>
    <x v="1"/>
    <n v="10"/>
    <n v="823219.53567227558"/>
    <n v="19854"/>
  </r>
  <r>
    <x v="2"/>
    <x v="1"/>
    <n v="11"/>
    <n v="943577.41710831155"/>
    <n v="22879"/>
  </r>
  <r>
    <x v="2"/>
    <x v="1"/>
    <n v="12"/>
    <n v="894678.4144111058"/>
    <n v="21741"/>
  </r>
  <r>
    <x v="2"/>
    <x v="2"/>
    <n v="1"/>
    <n v="766260.22031022259"/>
    <n v="18573"/>
  </r>
  <r>
    <x v="2"/>
    <x v="2"/>
    <n v="2"/>
    <n v="690399.96001625643"/>
    <n v="16797"/>
  </r>
  <r>
    <x v="2"/>
    <x v="2"/>
    <n v="3"/>
    <n v="723813.64092813258"/>
    <n v="17793"/>
  </r>
  <r>
    <x v="2"/>
    <x v="2"/>
    <n v="4"/>
    <n v="975278.25697451353"/>
    <n v="23307"/>
  </r>
  <r>
    <x v="2"/>
    <x v="2"/>
    <n v="5"/>
    <n v="906544.36640190927"/>
    <n v="21714"/>
  </r>
  <r>
    <x v="2"/>
    <x v="2"/>
    <n v="6"/>
    <n v="849450.31757126295"/>
    <n v="20876"/>
  </r>
  <r>
    <x v="2"/>
    <x v="2"/>
    <n v="7"/>
    <n v="719499.17105779692"/>
    <n v="17578"/>
  </r>
  <r>
    <x v="2"/>
    <x v="2"/>
    <n v="8"/>
    <n v="622964.63097408926"/>
    <n v="15747"/>
  </r>
  <r>
    <x v="2"/>
    <x v="2"/>
    <n v="9"/>
    <n v="724927.02892713936"/>
    <n v="17585"/>
  </r>
  <r>
    <x v="2"/>
    <x v="2"/>
    <n v="10"/>
    <n v="887362.3226612499"/>
    <n v="21652"/>
  </r>
  <r>
    <x v="2"/>
    <x v="2"/>
    <n v="11"/>
    <n v="733633.37040731905"/>
    <n v="18165"/>
  </r>
  <r>
    <x v="2"/>
    <x v="2"/>
    <n v="12"/>
    <n v="736265.61942646385"/>
    <n v="180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DE1AE-0246-433B-A08D-568672C632B5}" name="PivotTable6"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65:J69" firstHeaderRow="1" firstDataRow="1" firstDataCol="1"/>
  <pivotFields count="6">
    <pivotField showAll="0"/>
    <pivotField showAll="0"/>
    <pivotField axis="axisRow" showAll="0">
      <items count="4">
        <item x="0"/>
        <item x="1"/>
        <item x="2"/>
        <item t="default"/>
      </items>
    </pivotField>
    <pivotField showAll="0"/>
    <pivotField dataField="1" showAll="0"/>
    <pivotField showAll="0"/>
  </pivotFields>
  <rowFields count="1">
    <field x="2"/>
  </rowFields>
  <rowItems count="4">
    <i>
      <x/>
    </i>
    <i>
      <x v="1"/>
    </i>
    <i>
      <x v="2"/>
    </i>
    <i t="grand">
      <x/>
    </i>
  </rowItems>
  <colItems count="1">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BADAC-C800-4146-B0A5-2D48989CA751}" name="PivotTable5"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54:J59" firstHeaderRow="1" firstDataRow="1" firstDataCol="1"/>
  <pivotFields count="6">
    <pivotField showAll="0">
      <items count="5">
        <item x="0"/>
        <item x="1"/>
        <item x="2"/>
        <item x="3"/>
        <item t="default"/>
      </items>
    </pivotField>
    <pivotField axis="axisRow" showAll="0">
      <items count="5">
        <item x="0"/>
        <item x="1"/>
        <item x="2"/>
        <item x="3"/>
        <item t="default"/>
      </items>
    </pivotField>
    <pivotField showAll="0">
      <items count="4">
        <item x="0"/>
        <item x="1"/>
        <item x="2"/>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77FBB-72F2-490D-A00C-992A1E23A015}" name="PivotTable4"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44:J49" firstHeaderRow="1" firstDataRow="1" firstDataCol="1"/>
  <pivotFields count="6">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4">
        <item x="0"/>
        <item x="1"/>
        <item x="2"/>
        <item t="default"/>
      </items>
    </pivotField>
    <pivotField showAll="0"/>
    <pivotField dataField="1" showAll="0"/>
    <pivotField showAll="0"/>
  </pivotFields>
  <rowFields count="1">
    <field x="0"/>
  </rowFields>
  <rowItems count="5">
    <i>
      <x v="3"/>
    </i>
    <i>
      <x v="2"/>
    </i>
    <i>
      <x v="1"/>
    </i>
    <i>
      <x/>
    </i>
    <i t="grand">
      <x/>
    </i>
  </rowItems>
  <colItems count="1">
    <i/>
  </colItems>
  <dataFields count="1">
    <dataField name="Sum of revenue" fld="4" baseField="0" baseItem="0" numFmtId="3"/>
  </dataFields>
  <formats count="3">
    <format dxfId="35">
      <pivotArea collapsedLevelsAreSubtotals="1" fieldPosition="0">
        <references count="1">
          <reference field="0" count="0"/>
        </references>
      </pivotArea>
    </format>
    <format dxfId="34">
      <pivotArea grandRow="1" outline="0" collapsedLevelsAreSubtotals="1" fieldPosition="0"/>
    </format>
    <format dxfId="3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3A12E6-2924-4DE3-AA77-41765A84931C}" name="PivotTable3"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I11:K15" firstHeaderRow="0" firstDataRow="1" firstDataCol="1"/>
  <pivotFields count="5">
    <pivotField axis="axisRow" showAll="0">
      <items count="4">
        <item x="0"/>
        <item x="1"/>
        <item x="2"/>
        <item t="default"/>
      </items>
    </pivotField>
    <pivotField showAll="0">
      <items count="4">
        <item x="0"/>
        <item x="1"/>
        <item x="2"/>
        <item t="default"/>
      </items>
    </pivotField>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revenue" fld="3" baseField="0" baseItem="0" numFmtId="3"/>
    <dataField name="Sum of units" fld="4" baseField="0" baseItem="0" numFmtId="3"/>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F0150A-A5AE-4EFA-A9E8-3885ED45364B}" name="PivotTable2"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44:G85" firstHeaderRow="1" firstDataRow="2" firstDataCol="1"/>
  <pivotFields count="6">
    <pivotField axis="axisCol" showAll="0">
      <items count="5">
        <item x="0"/>
        <item x="1"/>
        <item x="2"/>
        <item x="3"/>
        <item t="default"/>
      </items>
    </pivotField>
    <pivotField showAll="0">
      <items count="5">
        <item x="0"/>
        <item x="1"/>
        <item x="2"/>
        <item x="3"/>
        <item t="default"/>
      </items>
    </pivotField>
    <pivotField axis="axisRow" showAll="0">
      <items count="4">
        <item x="0"/>
        <item x="1"/>
        <item x="2"/>
        <item t="default"/>
      </items>
    </pivotField>
    <pivotField axis="axisRow" showAll="0" sortType="ascending">
      <items count="13">
        <item x="0"/>
        <item x="1"/>
        <item x="2"/>
        <item x="3"/>
        <item x="4"/>
        <item x="5"/>
        <item x="6"/>
        <item x="7"/>
        <item x="8"/>
        <item x="9"/>
        <item x="10"/>
        <item x="11"/>
        <item t="default"/>
      </items>
    </pivotField>
    <pivotField dataField="1" showAll="0"/>
    <pivotField showAll="0"/>
  </pivotFields>
  <rowFields count="2">
    <field x="2"/>
    <field x="3"/>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0"/>
  </colFields>
  <colItems count="5">
    <i>
      <x/>
    </i>
    <i>
      <x v="1"/>
    </i>
    <i>
      <x v="2"/>
    </i>
    <i>
      <x v="3"/>
    </i>
    <i t="grand">
      <x/>
    </i>
  </colItems>
  <dataFields count="1">
    <dataField name="Sum of revenue" fld="4" baseField="0" baseItem="0"/>
  </dataFields>
  <chartFormats count="4">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8EAF7C-500C-445C-A101-B57F12F96C26}" name="PivotTable1" cacheId="15" applyNumberFormats="0" applyBorderFormats="0" applyFontFormats="0" applyPatternFormats="0" applyAlignmentFormats="0" applyWidthHeightFormats="1" dataCaption="Values" updatedVersion="8" minRefreshableVersion="3" showDrill="0" itemPrintTitles="1" createdVersion="8" indent="0" compact="0" compactData="0" gridDropZones="1" multipleFieldFilters="0">
  <location ref="B14:G20" firstHeaderRow="1" firstDataRow="2" firstDataCol="1" rowPageCount="2" colPageCount="1"/>
  <pivotFields count="6">
    <pivotField axis="axisRow" compact="0" outline="0" showAll="0">
      <items count="5">
        <item x="0"/>
        <item x="1"/>
        <item x="2"/>
        <item x="3"/>
        <item t="default"/>
      </items>
    </pivotField>
    <pivotField axis="axisCol" compact="0" outline="0" showAll="0">
      <items count="5">
        <item x="0"/>
        <item x="1"/>
        <item x="2"/>
        <item x="3"/>
        <item t="default"/>
      </items>
    </pivotField>
    <pivotField axis="axisPage" compact="0" outline="0" showAll="0">
      <items count="4">
        <item x="0"/>
        <item x="1"/>
        <item x="2"/>
        <item t="default"/>
      </items>
    </pivotField>
    <pivotField axis="axisPage" compact="0" outline="0" showAll="0">
      <items count="13">
        <item x="0"/>
        <item x="1"/>
        <item x="2"/>
        <item x="3"/>
        <item x="4"/>
        <item x="5"/>
        <item x="6"/>
        <item x="7"/>
        <item x="8"/>
        <item x="9"/>
        <item x="10"/>
        <item x="11"/>
        <item t="default"/>
      </items>
    </pivotField>
    <pivotField dataField="1" compact="0" outline="0" showAll="0"/>
    <pivotField compact="0" outline="0" showAll="0"/>
  </pivotFields>
  <rowFields count="1">
    <field x="0"/>
  </rowFields>
  <rowItems count="5">
    <i>
      <x/>
    </i>
    <i>
      <x v="1"/>
    </i>
    <i>
      <x v="2"/>
    </i>
    <i>
      <x v="3"/>
    </i>
    <i t="grand">
      <x/>
    </i>
  </rowItems>
  <colFields count="1">
    <field x="1"/>
  </colFields>
  <colItems count="5">
    <i>
      <x/>
    </i>
    <i>
      <x v="1"/>
    </i>
    <i>
      <x v="2"/>
    </i>
    <i>
      <x v="3"/>
    </i>
    <i t="grand">
      <x/>
    </i>
  </colItems>
  <pageFields count="2">
    <pageField fld="2" hier="-1"/>
    <pageField fld="3" hier="-1"/>
  </pageFields>
  <dataFields count="1">
    <dataField name="Sum of revenue"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8986EB7-0868-4A3C-ACD1-BC7DDE77D9C5}" autoFormatId="16" applyNumberFormats="0" applyBorderFormats="0" applyFontFormats="0" applyPatternFormats="0" applyAlignmentFormats="0" applyWidthHeightFormats="0">
  <queryTableRefresh nextId="6">
    <queryTableFields count="5">
      <queryTableField id="1" name="channel" tableColumnId="1"/>
      <queryTableField id="2" name="year" tableColumnId="2"/>
      <queryTableField id="3" name="month" tableColumnId="3"/>
      <queryTableField id="4" name="revenue" tableColumnId="4"/>
      <queryTableField id="5" name="units"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8AAA3B0-084F-4471-89C7-9E9DABC3C53E}" autoFormatId="16" applyNumberFormats="0" applyBorderFormats="0" applyFontFormats="0" applyPatternFormats="0" applyAlignmentFormats="0" applyWidthHeightFormats="0">
  <queryTableRefresh nextId="7">
    <queryTableFields count="6">
      <queryTableField id="1" name="product" tableColumnId="1"/>
      <queryTableField id="2" name="region" tableColumnId="2"/>
      <queryTableField id="3" name="year" tableColumnId="3"/>
      <queryTableField id="4" name="month" tableColumnId="4"/>
      <queryTableField id="5" name="revenue" tableColumnId="5"/>
      <queryTableField id="6" name="unit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57D726-B3CA-4699-B6F8-80EE97DDAFEE}" sourceName="product">
  <pivotTables>
    <pivotTable tabId="1" name="PivotTable1"/>
    <pivotTable tabId="1" name="PivotTable2"/>
    <pivotTable tabId="1" name="PivotTable4"/>
    <pivotTable tabId="1" name="PivotTable5"/>
  </pivotTables>
  <data>
    <tabular pivotCacheId="103423619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579DC0-7FE7-4D62-9FED-91E0390BC8EB}" sourceName="region">
  <pivotTables>
    <pivotTable tabId="1" name="PivotTable1"/>
    <pivotTable tabId="1" name="PivotTable2"/>
    <pivotTable tabId="1" name="PivotTable4"/>
    <pivotTable tabId="1" name="PivotTable5"/>
  </pivotTables>
  <data>
    <tabular pivotCacheId="103423619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8C719A-8D3C-4499-ABA8-13A7DB04DB71}" sourceName="year">
  <pivotTables>
    <pivotTable tabId="1" name="PivotTable1"/>
    <pivotTable tabId="1" name="PivotTable2"/>
    <pivotTable tabId="1" name="PivotTable4"/>
    <pivotTable tabId="1" name="PivotTable5"/>
  </pivotTables>
  <data>
    <tabular pivotCacheId="103423619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DDD00A1-FD02-48BC-8C82-FF3D68050A3E}" sourceName="channel">
  <pivotTables>
    <pivotTable tabId="1" name="PivotTable3"/>
  </pivotTables>
  <data>
    <tabular pivotCacheId="15841524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FA85762-93C7-4D87-9315-3437004C4963}" cache="Slicer_product" caption="product" columnCount="4" style="SlicerStyleOther2" rowHeight="247650"/>
  <slicer name="region" xr10:uid="{1E2F4010-B09B-4C82-90CD-A2166ADADCF3}" cache="Slicer_region" caption="region" columnCount="4" style="SlicerStyleOther2" rowHeight="247650"/>
  <slicer name="year" xr10:uid="{08DAF682-906E-467B-A680-388646A36C08}" cache="Slicer_year" caption="year" columnCount="3" style="SlicerStyleOther2" rowHeight="247650"/>
  <slicer name="channel" xr10:uid="{2CEDBD83-3453-4FD1-B0EF-A57F91A2DE98}" cache="Slicer_channel" caption="channel" columnCount="3"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4236EC-77F8-407B-81C5-1B817A79A580}" name="by_channel" displayName="by_channel" ref="A1:E109" tableType="queryTable" totalsRowShown="0">
  <autoFilter ref="A1:E109" xr:uid="{784236EC-77F8-407B-81C5-1B817A79A580}"/>
  <tableColumns count="5">
    <tableColumn id="1" xr3:uid="{9857D80B-12A9-452E-8FA0-EBB7AD715D58}" uniqueName="1" name="channel" queryTableFieldId="1" dataDxfId="36"/>
    <tableColumn id="2" xr3:uid="{24A03FA8-025D-4D76-8014-23171A506418}" uniqueName="2" name="year" queryTableFieldId="2"/>
    <tableColumn id="3" xr3:uid="{CC1D1F28-3E70-471C-A5A5-8602826F8159}" uniqueName="3" name="month" queryTableFieldId="3"/>
    <tableColumn id="4" xr3:uid="{545FA799-0081-47CA-B360-5CA95E89E716}" uniqueName="4" name="revenue" queryTableFieldId="4"/>
    <tableColumn id="5" xr3:uid="{868EC40B-343C-4FC1-BAC1-9BF970A75D95}" uniqueName="5" name="units"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52134B-33E9-42AB-B733-E24A52816A92}" name="by_product_region_month" displayName="by_product_region_month" ref="A1:F577" tableType="queryTable" totalsRowShown="0">
  <autoFilter ref="A1:F577" xr:uid="{9852134B-33E9-42AB-B733-E24A52816A92}"/>
  <tableColumns count="6">
    <tableColumn id="1" xr3:uid="{0330782A-AEC6-4DBA-920E-DF1D27FDF4D7}" uniqueName="1" name="product" queryTableFieldId="1" dataDxfId="38"/>
    <tableColumn id="2" xr3:uid="{5A854017-8D6F-43DF-A896-4305FF075A1E}" uniqueName="2" name="region" queryTableFieldId="2" dataDxfId="37"/>
    <tableColumn id="3" xr3:uid="{7D28F787-F43E-4441-854E-ED5BC4A20331}" uniqueName="3" name="year" queryTableFieldId="3"/>
    <tableColumn id="4" xr3:uid="{AC41E4B2-A197-429C-A178-85704F6C7380}" uniqueName="4" name="month" queryTableFieldId="4"/>
    <tableColumn id="5" xr3:uid="{795D09FD-F1B1-4884-86F8-933833D5F136}" uniqueName="5" name="revenue" queryTableFieldId="5"/>
    <tableColumn id="6" xr3:uid="{A0F8EFCF-6FE6-4CC3-B4E1-BAD6C4A01641}" uniqueName="6" name="units"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8772-5300-4BEF-8A09-0813A627D7A0}">
  <dimension ref="B2:N85"/>
  <sheetViews>
    <sheetView tabSelected="1" workbookViewId="0">
      <selection activeCell="P20" sqref="P20"/>
    </sheetView>
  </sheetViews>
  <sheetFormatPr defaultRowHeight="14.4" x14ac:dyDescent="0.3"/>
  <cols>
    <col min="1" max="1" width="3.109375" customWidth="1"/>
    <col min="2" max="2" width="13.6640625" bestFit="1" customWidth="1"/>
    <col min="3" max="3" width="15.5546875" bestFit="1" customWidth="1"/>
    <col min="4" max="4" width="14" customWidth="1"/>
    <col min="5" max="5" width="15" customWidth="1"/>
    <col min="6" max="7" width="12" bestFit="1" customWidth="1"/>
    <col min="8" max="8" width="10.5546875" bestFit="1" customWidth="1"/>
    <col min="9" max="9" width="12.44140625" bestFit="1" customWidth="1"/>
    <col min="10" max="10" width="13.6640625" bestFit="1" customWidth="1"/>
    <col min="11" max="11" width="11.109375" bestFit="1" customWidth="1"/>
    <col min="12" max="12" width="13.6640625" bestFit="1" customWidth="1"/>
    <col min="13" max="13" width="11.109375" bestFit="1" customWidth="1"/>
    <col min="14" max="14" width="13.6640625" bestFit="1" customWidth="1"/>
    <col min="15" max="15" width="11.109375" bestFit="1" customWidth="1"/>
    <col min="16" max="16" width="18.21875" bestFit="1" customWidth="1"/>
    <col min="17" max="17" width="15.6640625" bestFit="1" customWidth="1"/>
  </cols>
  <sheetData>
    <row r="2" spans="2:14" ht="31.2" x14ac:dyDescent="0.6">
      <c r="B2" s="11" t="s">
        <v>35</v>
      </c>
      <c r="C2" s="12"/>
      <c r="D2" s="12"/>
      <c r="E2" s="12"/>
      <c r="F2" s="12"/>
      <c r="G2" s="12"/>
      <c r="H2" s="12"/>
      <c r="I2" s="12"/>
      <c r="J2" s="12"/>
      <c r="K2" s="12"/>
      <c r="L2" s="12"/>
      <c r="M2" s="12"/>
      <c r="N2" s="13"/>
    </row>
    <row r="9" spans="2:14" ht="15.6" x14ac:dyDescent="0.3">
      <c r="B9" s="6" t="s">
        <v>25</v>
      </c>
      <c r="C9" s="7"/>
      <c r="D9" s="7"/>
      <c r="E9" s="7"/>
      <c r="F9" s="7"/>
      <c r="G9" s="7"/>
      <c r="I9" s="6" t="s">
        <v>24</v>
      </c>
      <c r="J9" s="7"/>
      <c r="K9" s="7"/>
    </row>
    <row r="11" spans="2:14" x14ac:dyDescent="0.3">
      <c r="B11" s="2" t="s">
        <v>2</v>
      </c>
      <c r="C11" t="s">
        <v>22</v>
      </c>
      <c r="I11" s="2" t="s">
        <v>18</v>
      </c>
      <c r="J11" t="s">
        <v>21</v>
      </c>
      <c r="K11" t="s">
        <v>23</v>
      </c>
    </row>
    <row r="12" spans="2:14" x14ac:dyDescent="0.3">
      <c r="B12" s="2" t="s">
        <v>3</v>
      </c>
      <c r="C12" t="s">
        <v>22</v>
      </c>
      <c r="I12" s="3" t="s">
        <v>15</v>
      </c>
      <c r="J12" s="4">
        <v>17255382.761580769</v>
      </c>
      <c r="K12" s="4">
        <v>419367</v>
      </c>
    </row>
    <row r="13" spans="2:14" x14ac:dyDescent="0.3">
      <c r="I13" s="3" t="s">
        <v>16</v>
      </c>
      <c r="J13" s="4">
        <v>21662331.038025428</v>
      </c>
      <c r="K13" s="4">
        <v>525714</v>
      </c>
    </row>
    <row r="14" spans="2:14" x14ac:dyDescent="0.3">
      <c r="B14" s="2" t="s">
        <v>21</v>
      </c>
      <c r="C14" s="2" t="s">
        <v>1</v>
      </c>
      <c r="I14" s="3" t="s">
        <v>17</v>
      </c>
      <c r="J14" s="4">
        <v>28022065.700232908</v>
      </c>
      <c r="K14" s="4">
        <v>682341</v>
      </c>
    </row>
    <row r="15" spans="2:14" x14ac:dyDescent="0.3">
      <c r="B15" s="2" t="s">
        <v>0</v>
      </c>
      <c r="C15" t="s">
        <v>7</v>
      </c>
      <c r="D15" t="s">
        <v>8</v>
      </c>
      <c r="E15" t="s">
        <v>9</v>
      </c>
      <c r="F15" t="s">
        <v>10</v>
      </c>
      <c r="G15" t="s">
        <v>19</v>
      </c>
      <c r="I15" s="3" t="s">
        <v>19</v>
      </c>
      <c r="J15" s="4">
        <v>66939779.499839105</v>
      </c>
      <c r="K15" s="4">
        <v>1627422</v>
      </c>
    </row>
    <row r="16" spans="2:14" x14ac:dyDescent="0.3">
      <c r="B16" t="s">
        <v>6</v>
      </c>
      <c r="C16" s="4">
        <v>7987114.6383380294</v>
      </c>
      <c r="D16" s="4">
        <v>9039127.5248488691</v>
      </c>
      <c r="E16" s="4">
        <v>5617713.1195556493</v>
      </c>
      <c r="F16" s="4">
        <v>7218815.7275892487</v>
      </c>
      <c r="G16" s="4">
        <v>29862771.010331798</v>
      </c>
    </row>
    <row r="17" spans="2:7" x14ac:dyDescent="0.3">
      <c r="B17" t="s">
        <v>11</v>
      </c>
      <c r="C17" s="4">
        <v>4854294.3817184605</v>
      </c>
      <c r="D17" s="4">
        <v>5440745.8444181792</v>
      </c>
      <c r="E17" s="4">
        <v>3201212.9335075142</v>
      </c>
      <c r="F17" s="4">
        <v>4287573.8834753027</v>
      </c>
      <c r="G17" s="4">
        <v>17783827.043119457</v>
      </c>
    </row>
    <row r="18" spans="2:7" x14ac:dyDescent="0.3">
      <c r="B18" t="s">
        <v>12</v>
      </c>
      <c r="C18" s="4">
        <v>3192836.200052809</v>
      </c>
      <c r="D18" s="4">
        <v>3825014.1474089283</v>
      </c>
      <c r="E18" s="4">
        <v>2131459.7023906298</v>
      </c>
      <c r="F18" s="4">
        <v>2850548.1131231049</v>
      </c>
      <c r="G18" s="4">
        <v>11999858.162975471</v>
      </c>
    </row>
    <row r="19" spans="2:7" x14ac:dyDescent="0.3">
      <c r="B19" t="s">
        <v>13</v>
      </c>
      <c r="C19" s="4">
        <v>1877683.8192767757</v>
      </c>
      <c r="D19" s="4">
        <v>2297323.9307118999</v>
      </c>
      <c r="E19" s="4">
        <v>1384046.0683435698</v>
      </c>
      <c r="F19" s="4">
        <v>1734269.465080126</v>
      </c>
      <c r="G19" s="4">
        <v>7293323.2834123718</v>
      </c>
    </row>
    <row r="20" spans="2:7" x14ac:dyDescent="0.3">
      <c r="B20" t="s">
        <v>19</v>
      </c>
      <c r="C20" s="4">
        <v>17911929.039386075</v>
      </c>
      <c r="D20" s="4">
        <v>20602211.447387874</v>
      </c>
      <c r="E20" s="4">
        <v>12334431.823797364</v>
      </c>
      <c r="F20" s="4">
        <v>16091207.189267782</v>
      </c>
      <c r="G20" s="4">
        <v>66939779.499839105</v>
      </c>
    </row>
    <row r="37" spans="2:10" ht="15" thickBot="1" x14ac:dyDescent="0.35"/>
    <row r="38" spans="2:10" x14ac:dyDescent="0.3">
      <c r="B38" s="14" t="s">
        <v>27</v>
      </c>
      <c r="C38" s="16" t="s">
        <v>28</v>
      </c>
      <c r="D38" s="17" t="s">
        <v>31</v>
      </c>
      <c r="E38" s="14" t="s">
        <v>29</v>
      </c>
      <c r="F38" s="14" t="s">
        <v>30</v>
      </c>
      <c r="H38" s="9"/>
    </row>
    <row r="39" spans="2:10" ht="18.600000000000001" thickBot="1" x14ac:dyDescent="0.4">
      <c r="B39" s="15">
        <f>GETPIVOTDATA("revenue",B14)</f>
        <v>66939779.499839105</v>
      </c>
      <c r="C39" s="18" t="str">
        <f>I45</f>
        <v>Product A</v>
      </c>
      <c r="D39" s="19">
        <f>J45</f>
        <v>29862771.010331806</v>
      </c>
      <c r="E39" s="20" t="str">
        <f>INDEX(I55:I58, MATCH(MAX(J55:J58), J55:J58, 0))</f>
        <v>North</v>
      </c>
      <c r="F39" s="21">
        <f>(J68-J67)/J67</f>
        <v>-1.1885569655913931E-2</v>
      </c>
      <c r="H39" s="10"/>
    </row>
    <row r="42" spans="2:10" ht="15.6" x14ac:dyDescent="0.3">
      <c r="B42" s="6" t="s">
        <v>26</v>
      </c>
      <c r="C42" s="7"/>
      <c r="D42" s="7"/>
      <c r="E42" s="7"/>
      <c r="F42" s="7"/>
      <c r="G42" s="7"/>
      <c r="I42" s="8" t="s">
        <v>32</v>
      </c>
      <c r="J42" s="7"/>
    </row>
    <row r="44" spans="2:10" x14ac:dyDescent="0.3">
      <c r="B44" s="2" t="s">
        <v>21</v>
      </c>
      <c r="C44" s="2" t="s">
        <v>20</v>
      </c>
      <c r="I44" s="2" t="s">
        <v>18</v>
      </c>
      <c r="J44" t="s">
        <v>21</v>
      </c>
    </row>
    <row r="45" spans="2:10" x14ac:dyDescent="0.3">
      <c r="B45" s="2" t="s">
        <v>18</v>
      </c>
      <c r="C45" t="s">
        <v>6</v>
      </c>
      <c r="D45" t="s">
        <v>11</v>
      </c>
      <c r="E45" t="s">
        <v>12</v>
      </c>
      <c r="F45" t="s">
        <v>13</v>
      </c>
      <c r="G45" t="s">
        <v>19</v>
      </c>
      <c r="I45" s="3" t="s">
        <v>6</v>
      </c>
      <c r="J45" s="4">
        <v>29862771.010331806</v>
      </c>
    </row>
    <row r="46" spans="2:10" x14ac:dyDescent="0.3">
      <c r="B46" s="3">
        <v>2022</v>
      </c>
      <c r="C46" s="1">
        <v>9643574.3872916214</v>
      </c>
      <c r="D46" s="1">
        <v>5846741.289424099</v>
      </c>
      <c r="E46" s="1">
        <v>3788215.6740357741</v>
      </c>
      <c r="F46" s="1">
        <v>2344592.2719561476</v>
      </c>
      <c r="G46" s="1">
        <v>21623123.622707643</v>
      </c>
      <c r="I46" s="3" t="s">
        <v>11</v>
      </c>
      <c r="J46" s="4">
        <v>17783827.04311946</v>
      </c>
    </row>
    <row r="47" spans="2:10" x14ac:dyDescent="0.3">
      <c r="B47" s="5">
        <v>1</v>
      </c>
      <c r="C47" s="1">
        <v>698529.54679028108</v>
      </c>
      <c r="D47" s="1">
        <v>471044.29945861554</v>
      </c>
      <c r="E47" s="1">
        <v>303273.23994729103</v>
      </c>
      <c r="F47" s="1">
        <v>155552.07668544693</v>
      </c>
      <c r="G47" s="1">
        <v>1628399.1628816347</v>
      </c>
      <c r="I47" s="3" t="s">
        <v>12</v>
      </c>
      <c r="J47" s="4">
        <v>11999858.162975473</v>
      </c>
    </row>
    <row r="48" spans="2:10" x14ac:dyDescent="0.3">
      <c r="B48" s="5">
        <v>2</v>
      </c>
      <c r="C48" s="1">
        <v>741351.79310832312</v>
      </c>
      <c r="D48" s="1">
        <v>462733.62183397461</v>
      </c>
      <c r="E48" s="1">
        <v>310061.94716553262</v>
      </c>
      <c r="F48" s="1">
        <v>194637.57956448474</v>
      </c>
      <c r="G48" s="1">
        <v>1708784.9416723149</v>
      </c>
      <c r="I48" s="3" t="s">
        <v>13</v>
      </c>
      <c r="J48" s="4">
        <v>7293323.2834123718</v>
      </c>
    </row>
    <row r="49" spans="2:10" x14ac:dyDescent="0.3">
      <c r="B49" s="5">
        <v>3</v>
      </c>
      <c r="C49" s="1">
        <v>794594.69541313197</v>
      </c>
      <c r="D49" s="1">
        <v>432054.05235844373</v>
      </c>
      <c r="E49" s="1">
        <v>264770.07971470396</v>
      </c>
      <c r="F49" s="1">
        <v>187795.43303800927</v>
      </c>
      <c r="G49" s="1">
        <v>1679214.2605242888</v>
      </c>
      <c r="I49" s="3" t="s">
        <v>19</v>
      </c>
      <c r="J49" s="4">
        <v>66939779.499839112</v>
      </c>
    </row>
    <row r="50" spans="2:10" x14ac:dyDescent="0.3">
      <c r="B50" s="5">
        <v>4</v>
      </c>
      <c r="C50" s="1">
        <v>909616.79886943626</v>
      </c>
      <c r="D50" s="1">
        <v>531527.56490567501</v>
      </c>
      <c r="E50" s="1">
        <v>344587.61289893178</v>
      </c>
      <c r="F50" s="1">
        <v>196844.61547577332</v>
      </c>
      <c r="G50" s="1">
        <v>1982576.5921498165</v>
      </c>
    </row>
    <row r="51" spans="2:10" x14ac:dyDescent="0.3">
      <c r="B51" s="5">
        <v>5</v>
      </c>
      <c r="C51" s="1">
        <v>910807.92126850435</v>
      </c>
      <c r="D51" s="1">
        <v>593821.80918874766</v>
      </c>
      <c r="E51" s="1">
        <v>377385.07431058394</v>
      </c>
      <c r="F51" s="1">
        <v>191303.38906188263</v>
      </c>
      <c r="G51" s="1">
        <v>2073318.1938297185</v>
      </c>
    </row>
    <row r="52" spans="2:10" x14ac:dyDescent="0.3">
      <c r="B52" s="5">
        <v>6</v>
      </c>
      <c r="C52" s="1">
        <v>907882.00279864692</v>
      </c>
      <c r="D52" s="1">
        <v>479749.19159674854</v>
      </c>
      <c r="E52" s="1">
        <v>322742.18892936059</v>
      </c>
      <c r="F52" s="1">
        <v>213438.23123937834</v>
      </c>
      <c r="G52" s="1">
        <v>1923811.6145641343</v>
      </c>
      <c r="I52" s="8" t="s">
        <v>33</v>
      </c>
      <c r="J52" s="7"/>
    </row>
    <row r="53" spans="2:10" x14ac:dyDescent="0.3">
      <c r="B53" s="5">
        <v>7</v>
      </c>
      <c r="C53" s="1">
        <v>643066.26639864314</v>
      </c>
      <c r="D53" s="1">
        <v>440414.47948088206</v>
      </c>
      <c r="E53" s="1">
        <v>286417.0465207987</v>
      </c>
      <c r="F53" s="1">
        <v>188985.50278442865</v>
      </c>
      <c r="G53" s="1">
        <v>1558883.2951847527</v>
      </c>
    </row>
    <row r="54" spans="2:10" x14ac:dyDescent="0.3">
      <c r="B54" s="5">
        <v>8</v>
      </c>
      <c r="C54" s="1">
        <v>709604.64606663922</v>
      </c>
      <c r="D54" s="1">
        <v>497056.88554370403</v>
      </c>
      <c r="E54" s="1">
        <v>308109.93516079965</v>
      </c>
      <c r="F54" s="1">
        <v>193203.5935506548</v>
      </c>
      <c r="G54" s="1">
        <v>1707975.0603217976</v>
      </c>
      <c r="I54" s="2" t="s">
        <v>18</v>
      </c>
      <c r="J54" t="s">
        <v>21</v>
      </c>
    </row>
    <row r="55" spans="2:10" x14ac:dyDescent="0.3">
      <c r="B55" s="5">
        <v>9</v>
      </c>
      <c r="C55" s="1">
        <v>731843.45507022925</v>
      </c>
      <c r="D55" s="1">
        <v>444309.79810021352</v>
      </c>
      <c r="E55" s="1">
        <v>301257.52243455121</v>
      </c>
      <c r="F55" s="1">
        <v>203374.93739605232</v>
      </c>
      <c r="G55" s="1">
        <v>1680785.7130010463</v>
      </c>
      <c r="I55" s="3" t="s">
        <v>7</v>
      </c>
      <c r="J55" s="1">
        <v>17911929.039386075</v>
      </c>
    </row>
    <row r="56" spans="2:10" x14ac:dyDescent="0.3">
      <c r="B56" s="5">
        <v>10</v>
      </c>
      <c r="C56" s="1">
        <v>753924.35137215862</v>
      </c>
      <c r="D56" s="1">
        <v>553718.31818638952</v>
      </c>
      <c r="E56" s="1">
        <v>299754.317344248</v>
      </c>
      <c r="F56" s="1">
        <v>199004.04269038478</v>
      </c>
      <c r="G56" s="1">
        <v>1806401.0295931809</v>
      </c>
      <c r="I56" s="3" t="s">
        <v>8</v>
      </c>
      <c r="J56" s="1">
        <v>20602211.447387863</v>
      </c>
    </row>
    <row r="57" spans="2:10" x14ac:dyDescent="0.3">
      <c r="B57" s="5">
        <v>11</v>
      </c>
      <c r="C57" s="1">
        <v>930222.80307678576</v>
      </c>
      <c r="D57" s="1">
        <v>497898.21371688228</v>
      </c>
      <c r="E57" s="1">
        <v>352597.39192083821</v>
      </c>
      <c r="F57" s="1">
        <v>186664.95324734732</v>
      </c>
      <c r="G57" s="1">
        <v>1967383.3619618537</v>
      </c>
      <c r="I57" s="3" t="s">
        <v>9</v>
      </c>
      <c r="J57" s="1">
        <v>12334431.823797362</v>
      </c>
    </row>
    <row r="58" spans="2:10" x14ac:dyDescent="0.3">
      <c r="B58" s="5">
        <v>12</v>
      </c>
      <c r="C58" s="1">
        <v>912130.10705884243</v>
      </c>
      <c r="D58" s="1">
        <v>442413.0550538227</v>
      </c>
      <c r="E58" s="1">
        <v>317259.31768813508</v>
      </c>
      <c r="F58" s="1">
        <v>233787.91722230433</v>
      </c>
      <c r="G58" s="1">
        <v>1905590.3970231046</v>
      </c>
      <c r="I58" s="3" t="s">
        <v>10</v>
      </c>
      <c r="J58" s="1">
        <v>16091207.189267781</v>
      </c>
    </row>
    <row r="59" spans="2:10" x14ac:dyDescent="0.3">
      <c r="B59" s="3">
        <v>2023</v>
      </c>
      <c r="C59" s="1">
        <v>10130184.555927141</v>
      </c>
      <c r="D59" s="1">
        <v>6082903.7540850202</v>
      </c>
      <c r="E59" s="1">
        <v>4101613.0067294305</v>
      </c>
      <c r="F59" s="1">
        <v>2479085.1904507624</v>
      </c>
      <c r="G59" s="1">
        <v>22793786.507192351</v>
      </c>
      <c r="I59" s="3" t="s">
        <v>19</v>
      </c>
      <c r="J59" s="1">
        <v>66939779.499839082</v>
      </c>
    </row>
    <row r="60" spans="2:10" x14ac:dyDescent="0.3">
      <c r="B60" s="5">
        <v>1</v>
      </c>
      <c r="C60" s="1">
        <v>725118.29329507856</v>
      </c>
      <c r="D60" s="1">
        <v>451632.26761730493</v>
      </c>
      <c r="E60" s="1">
        <v>310744.22325377888</v>
      </c>
      <c r="F60" s="1">
        <v>211812.96126443613</v>
      </c>
      <c r="G60" s="1">
        <v>1699307.7454305985</v>
      </c>
    </row>
    <row r="61" spans="2:10" x14ac:dyDescent="0.3">
      <c r="B61" s="5">
        <v>2</v>
      </c>
      <c r="C61" s="1">
        <v>782383.53437489143</v>
      </c>
      <c r="D61" s="1">
        <v>453044.81951911841</v>
      </c>
      <c r="E61" s="1">
        <v>330506.41587483196</v>
      </c>
      <c r="F61" s="1">
        <v>187791.27175214983</v>
      </c>
      <c r="G61" s="1">
        <v>1753726.0415209914</v>
      </c>
    </row>
    <row r="62" spans="2:10" x14ac:dyDescent="0.3">
      <c r="B62" s="5">
        <v>3</v>
      </c>
      <c r="C62" s="1">
        <v>731748.90432092757</v>
      </c>
      <c r="D62" s="1">
        <v>476183.23724600498</v>
      </c>
      <c r="E62" s="1">
        <v>357406.82186664303</v>
      </c>
      <c r="F62" s="1">
        <v>194085.79192111938</v>
      </c>
      <c r="G62" s="1">
        <v>1759424.7553546953</v>
      </c>
    </row>
    <row r="63" spans="2:10" x14ac:dyDescent="0.3">
      <c r="B63" s="5">
        <v>4</v>
      </c>
      <c r="C63" s="1">
        <v>962517.44711009297</v>
      </c>
      <c r="D63" s="1">
        <v>502972.29051962961</v>
      </c>
      <c r="E63" s="1">
        <v>377615.378526669</v>
      </c>
      <c r="F63" s="1">
        <v>219516.28475623147</v>
      </c>
      <c r="G63" s="1">
        <v>2062621.4009126229</v>
      </c>
      <c r="I63" s="8" t="s">
        <v>34</v>
      </c>
      <c r="J63" s="7"/>
    </row>
    <row r="64" spans="2:10" x14ac:dyDescent="0.3">
      <c r="B64" s="5">
        <v>5</v>
      </c>
      <c r="C64" s="1">
        <v>860546.10883375001</v>
      </c>
      <c r="D64" s="1">
        <v>565431.30943869252</v>
      </c>
      <c r="E64" s="1">
        <v>333624.31130344298</v>
      </c>
      <c r="F64" s="1">
        <v>230155.50086506541</v>
      </c>
      <c r="G64" s="1">
        <v>1989757.2304409512</v>
      </c>
    </row>
    <row r="65" spans="2:10" x14ac:dyDescent="0.3">
      <c r="B65" s="5">
        <v>6</v>
      </c>
      <c r="C65" s="1">
        <v>881823.12965526455</v>
      </c>
      <c r="D65" s="1">
        <v>641885.22840582137</v>
      </c>
      <c r="E65" s="1">
        <v>371047.72143920179</v>
      </c>
      <c r="F65" s="1">
        <v>221396.29680238961</v>
      </c>
      <c r="G65" s="1">
        <v>2116152.3763026772</v>
      </c>
      <c r="I65" s="2" t="s">
        <v>18</v>
      </c>
      <c r="J65" t="s">
        <v>21</v>
      </c>
    </row>
    <row r="66" spans="2:10" x14ac:dyDescent="0.3">
      <c r="B66" s="5">
        <v>7</v>
      </c>
      <c r="C66" s="1">
        <v>775563.98622733785</v>
      </c>
      <c r="D66" s="1">
        <v>447744.53434766468</v>
      </c>
      <c r="E66" s="1">
        <v>348149.14495898661</v>
      </c>
      <c r="F66" s="1">
        <v>182706.26202964861</v>
      </c>
      <c r="G66" s="1">
        <v>1754163.9275636377</v>
      </c>
      <c r="I66" s="3">
        <v>2022</v>
      </c>
      <c r="J66" s="1">
        <v>21623123.622707643</v>
      </c>
    </row>
    <row r="67" spans="2:10" x14ac:dyDescent="0.3">
      <c r="B67" s="5">
        <v>8</v>
      </c>
      <c r="C67" s="1">
        <v>905445.5385521549</v>
      </c>
      <c r="D67" s="1">
        <v>487722.77134320786</v>
      </c>
      <c r="E67" s="1">
        <v>288523.43607732235</v>
      </c>
      <c r="F67" s="1">
        <v>201428.01295702491</v>
      </c>
      <c r="G67" s="1">
        <v>1883119.7589297099</v>
      </c>
      <c r="I67" s="3">
        <v>2023</v>
      </c>
      <c r="J67" s="1">
        <v>22793786.507192355</v>
      </c>
    </row>
    <row r="68" spans="2:10" x14ac:dyDescent="0.3">
      <c r="B68" s="5">
        <v>9</v>
      </c>
      <c r="C68" s="1">
        <v>707630.38923964847</v>
      </c>
      <c r="D68" s="1">
        <v>463350.43217010709</v>
      </c>
      <c r="E68" s="1">
        <v>325054.00513857021</v>
      </c>
      <c r="F68" s="1">
        <v>172695.14263031169</v>
      </c>
      <c r="G68" s="1">
        <v>1668729.9691786375</v>
      </c>
      <c r="I68" s="3">
        <v>2024</v>
      </c>
      <c r="J68" s="1">
        <v>22522869.369939089</v>
      </c>
    </row>
    <row r="69" spans="2:10" x14ac:dyDescent="0.3">
      <c r="B69" s="5">
        <v>10</v>
      </c>
      <c r="C69" s="1">
        <v>901786.35473898519</v>
      </c>
      <c r="D69" s="1">
        <v>518534.63890065922</v>
      </c>
      <c r="E69" s="1">
        <v>351216.08219819871</v>
      </c>
      <c r="F69" s="1">
        <v>225748.80197294513</v>
      </c>
      <c r="G69" s="1">
        <v>1997285.8778107883</v>
      </c>
      <c r="I69" s="3" t="s">
        <v>19</v>
      </c>
      <c r="J69" s="1">
        <v>66939779.499839082</v>
      </c>
    </row>
    <row r="70" spans="2:10" x14ac:dyDescent="0.3">
      <c r="B70" s="5">
        <v>11</v>
      </c>
      <c r="C70" s="1">
        <v>983385.62032454042</v>
      </c>
      <c r="D70" s="1">
        <v>531403.03055360354</v>
      </c>
      <c r="E70" s="1">
        <v>357638.05948754237</v>
      </c>
      <c r="F70" s="1">
        <v>236587.07144422579</v>
      </c>
      <c r="G70" s="1">
        <v>2109013.7818099121</v>
      </c>
    </row>
    <row r="71" spans="2:10" x14ac:dyDescent="0.3">
      <c r="B71" s="5">
        <v>12</v>
      </c>
      <c r="C71" s="1">
        <v>912235.24925446836</v>
      </c>
      <c r="D71" s="1">
        <v>542999.19402320602</v>
      </c>
      <c r="E71" s="1">
        <v>350087.40660424228</v>
      </c>
      <c r="F71" s="1">
        <v>195161.79205521446</v>
      </c>
      <c r="G71" s="1">
        <v>2000483.6419371311</v>
      </c>
    </row>
    <row r="72" spans="2:10" x14ac:dyDescent="0.3">
      <c r="B72" s="3">
        <v>2024</v>
      </c>
      <c r="C72" s="1">
        <v>10089012.067113038</v>
      </c>
      <c r="D72" s="1">
        <v>5854181.9996103374</v>
      </c>
      <c r="E72" s="1">
        <v>4110029.4822102645</v>
      </c>
      <c r="F72" s="1">
        <v>2469645.8210054608</v>
      </c>
      <c r="G72" s="1">
        <v>22522869.3699391</v>
      </c>
    </row>
    <row r="73" spans="2:10" x14ac:dyDescent="0.3">
      <c r="B73" s="5">
        <v>1</v>
      </c>
      <c r="C73" s="1">
        <v>780519.01786806737</v>
      </c>
      <c r="D73" s="1">
        <v>473434.20924743655</v>
      </c>
      <c r="E73" s="1">
        <v>369791.66893163207</v>
      </c>
      <c r="F73" s="1">
        <v>187296.92443514211</v>
      </c>
      <c r="G73" s="1">
        <v>1811041.8204822782</v>
      </c>
    </row>
    <row r="74" spans="2:10" x14ac:dyDescent="0.3">
      <c r="B74" s="5">
        <v>2</v>
      </c>
      <c r="C74" s="1">
        <v>695328.99407577445</v>
      </c>
      <c r="D74" s="1">
        <v>441440.09559610591</v>
      </c>
      <c r="E74" s="1">
        <v>372576.77367212588</v>
      </c>
      <c r="F74" s="1">
        <v>175941.80678937846</v>
      </c>
      <c r="G74" s="1">
        <v>1685287.6701333846</v>
      </c>
    </row>
    <row r="75" spans="2:10" x14ac:dyDescent="0.3">
      <c r="B75" s="5">
        <v>3</v>
      </c>
      <c r="C75" s="1">
        <v>826032.04239426402</v>
      </c>
      <c r="D75" s="1">
        <v>430661.58981947595</v>
      </c>
      <c r="E75" s="1">
        <v>332429.887858873</v>
      </c>
      <c r="F75" s="1">
        <v>197804.8109763629</v>
      </c>
      <c r="G75" s="1">
        <v>1786928.3310489757</v>
      </c>
    </row>
    <row r="76" spans="2:10" x14ac:dyDescent="0.3">
      <c r="B76" s="5">
        <v>4</v>
      </c>
      <c r="C76" s="1">
        <v>976826.78219635424</v>
      </c>
      <c r="D76" s="1">
        <v>487105.18808282632</v>
      </c>
      <c r="E76" s="1">
        <v>338219.86984348926</v>
      </c>
      <c r="F76" s="1">
        <v>229442.71525903366</v>
      </c>
      <c r="G76" s="1">
        <v>2031594.5553817034</v>
      </c>
    </row>
    <row r="77" spans="2:10" x14ac:dyDescent="0.3">
      <c r="B77" s="5">
        <v>5</v>
      </c>
      <c r="C77" s="1">
        <v>934219.40837324038</v>
      </c>
      <c r="D77" s="1">
        <v>567483.14710760489</v>
      </c>
      <c r="E77" s="1">
        <v>340693.46109158918</v>
      </c>
      <c r="F77" s="1">
        <v>193667.05840681284</v>
      </c>
      <c r="G77" s="1">
        <v>2036063.0749792473</v>
      </c>
    </row>
    <row r="78" spans="2:10" x14ac:dyDescent="0.3">
      <c r="B78" s="5">
        <v>6</v>
      </c>
      <c r="C78" s="1">
        <v>925571.51798503473</v>
      </c>
      <c r="D78" s="1">
        <v>555493.37907787075</v>
      </c>
      <c r="E78" s="1">
        <v>398183.04170178151</v>
      </c>
      <c r="F78" s="1">
        <v>221385.11056268189</v>
      </c>
      <c r="G78" s="1">
        <v>2100633.0493273688</v>
      </c>
    </row>
    <row r="79" spans="2:10" x14ac:dyDescent="0.3">
      <c r="B79" s="5">
        <v>7</v>
      </c>
      <c r="C79" s="1">
        <v>828325.9814190875</v>
      </c>
      <c r="D79" s="1">
        <v>448199.08792945382</v>
      </c>
      <c r="E79" s="1">
        <v>320687.92802517529</v>
      </c>
      <c r="F79" s="1">
        <v>223079.19040445262</v>
      </c>
      <c r="G79" s="1">
        <v>1820292.1877781693</v>
      </c>
    </row>
    <row r="80" spans="2:10" x14ac:dyDescent="0.3">
      <c r="B80" s="5">
        <v>8</v>
      </c>
      <c r="C80" s="1">
        <v>701048.48797940055</v>
      </c>
      <c r="D80" s="1">
        <v>433044.23981237959</v>
      </c>
      <c r="E80" s="1">
        <v>279926.4833273447</v>
      </c>
      <c r="F80" s="1">
        <v>203082.21410524039</v>
      </c>
      <c r="G80" s="1">
        <v>1617101.4252243652</v>
      </c>
    </row>
    <row r="81" spans="2:7" x14ac:dyDescent="0.3">
      <c r="B81" s="5">
        <v>9</v>
      </c>
      <c r="C81" s="1">
        <v>775603.87840182846</v>
      </c>
      <c r="D81" s="1">
        <v>512504.80066176679</v>
      </c>
      <c r="E81" s="1">
        <v>314761.79412061826</v>
      </c>
      <c r="F81" s="1">
        <v>193693.29394112882</v>
      </c>
      <c r="G81" s="1">
        <v>1796563.7671253423</v>
      </c>
    </row>
    <row r="82" spans="2:7" x14ac:dyDescent="0.3">
      <c r="B82" s="5">
        <v>10</v>
      </c>
      <c r="C82" s="1">
        <v>955792.38313311851</v>
      </c>
      <c r="D82" s="1">
        <v>544176.59752197668</v>
      </c>
      <c r="E82" s="1">
        <v>374393.05073435744</v>
      </c>
      <c r="F82" s="1">
        <v>225059.70852840101</v>
      </c>
      <c r="G82" s="1">
        <v>2099421.7399178534</v>
      </c>
    </row>
    <row r="83" spans="2:7" x14ac:dyDescent="0.3">
      <c r="B83" s="5">
        <v>11</v>
      </c>
      <c r="C83" s="1">
        <v>825712.83437351522</v>
      </c>
      <c r="D83" s="1">
        <v>458068.79954054108</v>
      </c>
      <c r="E83" s="1">
        <v>348479.94733771391</v>
      </c>
      <c r="F83" s="1">
        <v>190922.31687703379</v>
      </c>
      <c r="G83" s="1">
        <v>1823183.8981288041</v>
      </c>
    </row>
    <row r="84" spans="2:7" x14ac:dyDescent="0.3">
      <c r="B84" s="5">
        <v>12</v>
      </c>
      <c r="C84" s="1">
        <v>864030.73891335144</v>
      </c>
      <c r="D84" s="1">
        <v>502570.86521289952</v>
      </c>
      <c r="E84" s="1">
        <v>319885.57556556445</v>
      </c>
      <c r="F84" s="1">
        <v>228270.67071979234</v>
      </c>
      <c r="G84" s="1">
        <v>1914757.8504116077</v>
      </c>
    </row>
    <row r="85" spans="2:7" x14ac:dyDescent="0.3">
      <c r="B85" s="3" t="s">
        <v>19</v>
      </c>
      <c r="C85" s="1">
        <v>29862771.010331795</v>
      </c>
      <c r="D85" s="1">
        <v>17783827.043119457</v>
      </c>
      <c r="E85" s="1">
        <v>11999858.162975468</v>
      </c>
      <c r="F85" s="1">
        <v>7293323.2834123708</v>
      </c>
      <c r="G85" s="1">
        <v>66939779.49983909</v>
      </c>
    </row>
  </sheetData>
  <mergeCells count="1">
    <mergeCell ref="B2:N2"/>
  </mergeCells>
  <conditionalFormatting sqref="F39">
    <cfRule type="cellIs" dxfId="1" priority="1" operator="lessThan">
      <formula>0</formula>
    </cfRule>
    <cfRule type="cellIs" dxfId="0" priority="2" operator="greaterThan">
      <formula>0</formula>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3D53-048F-4808-BE6A-BB15EFA07C59}">
  <dimension ref="A1:E109"/>
  <sheetViews>
    <sheetView workbookViewId="0"/>
  </sheetViews>
  <sheetFormatPr defaultRowHeight="14.4" x14ac:dyDescent="0.3"/>
  <cols>
    <col min="1" max="1" width="9.77734375" bestFit="1" customWidth="1"/>
    <col min="2" max="2" width="6.77734375" bestFit="1" customWidth="1"/>
    <col min="3" max="3" width="8.5546875" bestFit="1" customWidth="1"/>
    <col min="4" max="4" width="12" bestFit="1" customWidth="1"/>
    <col min="5" max="5" width="7.33203125" bestFit="1" customWidth="1"/>
  </cols>
  <sheetData>
    <row r="1" spans="1:5" x14ac:dyDescent="0.3">
      <c r="A1" t="s">
        <v>14</v>
      </c>
      <c r="B1" t="s">
        <v>2</v>
      </c>
      <c r="C1" t="s">
        <v>3</v>
      </c>
      <c r="D1" t="s">
        <v>4</v>
      </c>
      <c r="E1" t="s">
        <v>5</v>
      </c>
    </row>
    <row r="2" spans="1:5" x14ac:dyDescent="0.3">
      <c r="A2" s="1" t="s">
        <v>15</v>
      </c>
      <c r="B2">
        <v>2022</v>
      </c>
      <c r="C2">
        <v>1</v>
      </c>
      <c r="D2">
        <v>444382.92505677784</v>
      </c>
      <c r="E2">
        <v>10870</v>
      </c>
    </row>
    <row r="3" spans="1:5" x14ac:dyDescent="0.3">
      <c r="A3" s="1" t="s">
        <v>15</v>
      </c>
      <c r="B3">
        <v>2022</v>
      </c>
      <c r="C3">
        <v>2</v>
      </c>
      <c r="D3">
        <v>425516.57814906095</v>
      </c>
      <c r="E3">
        <v>10219</v>
      </c>
    </row>
    <row r="4" spans="1:5" x14ac:dyDescent="0.3">
      <c r="A4" s="1" t="s">
        <v>15</v>
      </c>
      <c r="B4">
        <v>2022</v>
      </c>
      <c r="C4">
        <v>3</v>
      </c>
      <c r="D4">
        <v>429725.60980350181</v>
      </c>
      <c r="E4">
        <v>10376</v>
      </c>
    </row>
    <row r="5" spans="1:5" x14ac:dyDescent="0.3">
      <c r="A5" s="1" t="s">
        <v>15</v>
      </c>
      <c r="B5">
        <v>2022</v>
      </c>
      <c r="C5">
        <v>4</v>
      </c>
      <c r="D5">
        <v>533203.80134214391</v>
      </c>
      <c r="E5">
        <v>12565</v>
      </c>
    </row>
    <row r="6" spans="1:5" x14ac:dyDescent="0.3">
      <c r="A6" s="1" t="s">
        <v>15</v>
      </c>
      <c r="B6">
        <v>2022</v>
      </c>
      <c r="C6">
        <v>5</v>
      </c>
      <c r="D6">
        <v>491817.20601008</v>
      </c>
      <c r="E6">
        <v>12182</v>
      </c>
    </row>
    <row r="7" spans="1:5" x14ac:dyDescent="0.3">
      <c r="A7" s="1" t="s">
        <v>15</v>
      </c>
      <c r="B7">
        <v>2022</v>
      </c>
      <c r="C7">
        <v>6</v>
      </c>
      <c r="D7">
        <v>488218.32326729904</v>
      </c>
      <c r="E7">
        <v>11592</v>
      </c>
    </row>
    <row r="8" spans="1:5" x14ac:dyDescent="0.3">
      <c r="A8" s="1" t="s">
        <v>15</v>
      </c>
      <c r="B8">
        <v>2022</v>
      </c>
      <c r="C8">
        <v>7</v>
      </c>
      <c r="D8">
        <v>396407.29330760997</v>
      </c>
      <c r="E8">
        <v>9721</v>
      </c>
    </row>
    <row r="9" spans="1:5" x14ac:dyDescent="0.3">
      <c r="A9" s="1" t="s">
        <v>15</v>
      </c>
      <c r="B9">
        <v>2022</v>
      </c>
      <c r="C9">
        <v>8</v>
      </c>
      <c r="D9">
        <v>450782.40377018473</v>
      </c>
      <c r="E9">
        <v>10869</v>
      </c>
    </row>
    <row r="10" spans="1:5" x14ac:dyDescent="0.3">
      <c r="A10" s="1" t="s">
        <v>15</v>
      </c>
      <c r="B10">
        <v>2022</v>
      </c>
      <c r="C10">
        <v>9</v>
      </c>
      <c r="D10">
        <v>406021.27381405968</v>
      </c>
      <c r="E10">
        <v>10095</v>
      </c>
    </row>
    <row r="11" spans="1:5" x14ac:dyDescent="0.3">
      <c r="A11" s="1" t="s">
        <v>15</v>
      </c>
      <c r="B11">
        <v>2022</v>
      </c>
      <c r="C11">
        <v>10</v>
      </c>
      <c r="D11">
        <v>482174.92318906367</v>
      </c>
      <c r="E11">
        <v>11709</v>
      </c>
    </row>
    <row r="12" spans="1:5" x14ac:dyDescent="0.3">
      <c r="A12" s="1" t="s">
        <v>15</v>
      </c>
      <c r="B12">
        <v>2022</v>
      </c>
      <c r="C12">
        <v>11</v>
      </c>
      <c r="D12">
        <v>594174.48106288561</v>
      </c>
      <c r="E12">
        <v>14186</v>
      </c>
    </row>
    <row r="13" spans="1:5" x14ac:dyDescent="0.3">
      <c r="A13" s="1" t="s">
        <v>15</v>
      </c>
      <c r="B13">
        <v>2022</v>
      </c>
      <c r="C13">
        <v>12</v>
      </c>
      <c r="D13">
        <v>544208.91129803623</v>
      </c>
      <c r="E13">
        <v>13224</v>
      </c>
    </row>
    <row r="14" spans="1:5" x14ac:dyDescent="0.3">
      <c r="A14" s="1" t="s">
        <v>15</v>
      </c>
      <c r="B14">
        <v>2023</v>
      </c>
      <c r="C14">
        <v>1</v>
      </c>
      <c r="D14">
        <v>435696.97444569453</v>
      </c>
      <c r="E14">
        <v>10569</v>
      </c>
    </row>
    <row r="15" spans="1:5" x14ac:dyDescent="0.3">
      <c r="A15" s="1" t="s">
        <v>15</v>
      </c>
      <c r="B15">
        <v>2023</v>
      </c>
      <c r="C15">
        <v>2</v>
      </c>
      <c r="D15">
        <v>472098.08137435949</v>
      </c>
      <c r="E15">
        <v>11524</v>
      </c>
    </row>
    <row r="16" spans="1:5" x14ac:dyDescent="0.3">
      <c r="A16" s="1" t="s">
        <v>15</v>
      </c>
      <c r="B16">
        <v>2023</v>
      </c>
      <c r="C16">
        <v>3</v>
      </c>
      <c r="D16">
        <v>448387.01941743051</v>
      </c>
      <c r="E16">
        <v>11101</v>
      </c>
    </row>
    <row r="17" spans="1:5" x14ac:dyDescent="0.3">
      <c r="A17" s="1" t="s">
        <v>15</v>
      </c>
      <c r="B17">
        <v>2023</v>
      </c>
      <c r="C17">
        <v>4</v>
      </c>
      <c r="D17">
        <v>528241.76680010743</v>
      </c>
      <c r="E17">
        <v>12816</v>
      </c>
    </row>
    <row r="18" spans="1:5" x14ac:dyDescent="0.3">
      <c r="A18" s="1" t="s">
        <v>15</v>
      </c>
      <c r="B18">
        <v>2023</v>
      </c>
      <c r="C18">
        <v>5</v>
      </c>
      <c r="D18">
        <v>512710.38823114533</v>
      </c>
      <c r="E18">
        <v>12535</v>
      </c>
    </row>
    <row r="19" spans="1:5" x14ac:dyDescent="0.3">
      <c r="A19" s="1" t="s">
        <v>15</v>
      </c>
      <c r="B19">
        <v>2023</v>
      </c>
      <c r="C19">
        <v>6</v>
      </c>
      <c r="D19">
        <v>496426.31323395809</v>
      </c>
      <c r="E19">
        <v>12072</v>
      </c>
    </row>
    <row r="20" spans="1:5" x14ac:dyDescent="0.3">
      <c r="A20" s="1" t="s">
        <v>15</v>
      </c>
      <c r="B20">
        <v>2023</v>
      </c>
      <c r="C20">
        <v>7</v>
      </c>
      <c r="D20">
        <v>462257.19641359389</v>
      </c>
      <c r="E20">
        <v>11184</v>
      </c>
    </row>
    <row r="21" spans="1:5" x14ac:dyDescent="0.3">
      <c r="A21" s="1" t="s">
        <v>15</v>
      </c>
      <c r="B21">
        <v>2023</v>
      </c>
      <c r="C21">
        <v>8</v>
      </c>
      <c r="D21">
        <v>475561.95763913298</v>
      </c>
      <c r="E21">
        <v>11370</v>
      </c>
    </row>
    <row r="22" spans="1:5" x14ac:dyDescent="0.3">
      <c r="A22" s="1" t="s">
        <v>15</v>
      </c>
      <c r="B22">
        <v>2023</v>
      </c>
      <c r="C22">
        <v>9</v>
      </c>
      <c r="D22">
        <v>466426.3109292523</v>
      </c>
      <c r="E22">
        <v>11277</v>
      </c>
    </row>
    <row r="23" spans="1:5" x14ac:dyDescent="0.3">
      <c r="A23" s="1" t="s">
        <v>15</v>
      </c>
      <c r="B23">
        <v>2023</v>
      </c>
      <c r="C23">
        <v>10</v>
      </c>
      <c r="D23">
        <v>504644.28905867541</v>
      </c>
      <c r="E23">
        <v>12269</v>
      </c>
    </row>
    <row r="24" spans="1:5" x14ac:dyDescent="0.3">
      <c r="A24" s="1" t="s">
        <v>15</v>
      </c>
      <c r="B24">
        <v>2023</v>
      </c>
      <c r="C24">
        <v>11</v>
      </c>
      <c r="D24">
        <v>490076.4209286478</v>
      </c>
      <c r="E24">
        <v>11907</v>
      </c>
    </row>
    <row r="25" spans="1:5" x14ac:dyDescent="0.3">
      <c r="A25" s="1" t="s">
        <v>15</v>
      </c>
      <c r="B25">
        <v>2023</v>
      </c>
      <c r="C25">
        <v>12</v>
      </c>
      <c r="D25">
        <v>520050.97043984424</v>
      </c>
      <c r="E25">
        <v>12318</v>
      </c>
    </row>
    <row r="26" spans="1:5" x14ac:dyDescent="0.3">
      <c r="A26" s="1" t="s">
        <v>15</v>
      </c>
      <c r="B26">
        <v>2024</v>
      </c>
      <c r="C26">
        <v>1</v>
      </c>
      <c r="D26">
        <v>466207.88256310258</v>
      </c>
      <c r="E26">
        <v>11453</v>
      </c>
    </row>
    <row r="27" spans="1:5" x14ac:dyDescent="0.3">
      <c r="A27" s="1" t="s">
        <v>15</v>
      </c>
      <c r="B27">
        <v>2024</v>
      </c>
      <c r="C27">
        <v>2</v>
      </c>
      <c r="D27">
        <v>475537.64043969737</v>
      </c>
      <c r="E27">
        <v>11988</v>
      </c>
    </row>
    <row r="28" spans="1:5" x14ac:dyDescent="0.3">
      <c r="A28" s="1" t="s">
        <v>15</v>
      </c>
      <c r="B28">
        <v>2024</v>
      </c>
      <c r="C28">
        <v>3</v>
      </c>
      <c r="D28">
        <v>485722.44397590338</v>
      </c>
      <c r="E28">
        <v>11956</v>
      </c>
    </row>
    <row r="29" spans="1:5" x14ac:dyDescent="0.3">
      <c r="A29" s="1" t="s">
        <v>15</v>
      </c>
      <c r="B29">
        <v>2024</v>
      </c>
      <c r="C29">
        <v>4</v>
      </c>
      <c r="D29">
        <v>449652.88518133917</v>
      </c>
      <c r="E29">
        <v>11011</v>
      </c>
    </row>
    <row r="30" spans="1:5" x14ac:dyDescent="0.3">
      <c r="A30" s="1" t="s">
        <v>15</v>
      </c>
      <c r="B30">
        <v>2024</v>
      </c>
      <c r="C30">
        <v>5</v>
      </c>
      <c r="D30">
        <v>533717.438571173</v>
      </c>
      <c r="E30">
        <v>12818</v>
      </c>
    </row>
    <row r="31" spans="1:5" x14ac:dyDescent="0.3">
      <c r="A31" s="1" t="s">
        <v>15</v>
      </c>
      <c r="B31">
        <v>2024</v>
      </c>
      <c r="C31">
        <v>6</v>
      </c>
      <c r="D31">
        <v>545893.14066399366</v>
      </c>
      <c r="E31">
        <v>13032</v>
      </c>
    </row>
    <row r="32" spans="1:5" x14ac:dyDescent="0.3">
      <c r="A32" s="1" t="s">
        <v>15</v>
      </c>
      <c r="B32">
        <v>2024</v>
      </c>
      <c r="C32">
        <v>7</v>
      </c>
      <c r="D32">
        <v>457306.16701469215</v>
      </c>
      <c r="E32">
        <v>11208</v>
      </c>
    </row>
    <row r="33" spans="1:5" x14ac:dyDescent="0.3">
      <c r="A33" s="1" t="s">
        <v>15</v>
      </c>
      <c r="B33">
        <v>2024</v>
      </c>
      <c r="C33">
        <v>8</v>
      </c>
      <c r="D33">
        <v>443556.69119361619</v>
      </c>
      <c r="E33">
        <v>10972</v>
      </c>
    </row>
    <row r="34" spans="1:5" x14ac:dyDescent="0.3">
      <c r="A34" s="1" t="s">
        <v>15</v>
      </c>
      <c r="B34">
        <v>2024</v>
      </c>
      <c r="C34">
        <v>9</v>
      </c>
      <c r="D34">
        <v>454155.94463112758</v>
      </c>
      <c r="E34">
        <v>11109</v>
      </c>
    </row>
    <row r="35" spans="1:5" x14ac:dyDescent="0.3">
      <c r="A35" s="1" t="s">
        <v>15</v>
      </c>
      <c r="B35">
        <v>2024</v>
      </c>
      <c r="C35">
        <v>10</v>
      </c>
      <c r="D35">
        <v>498224.15408089379</v>
      </c>
      <c r="E35">
        <v>12150</v>
      </c>
    </row>
    <row r="36" spans="1:5" x14ac:dyDescent="0.3">
      <c r="A36" s="1" t="s">
        <v>15</v>
      </c>
      <c r="B36">
        <v>2024</v>
      </c>
      <c r="C36">
        <v>11</v>
      </c>
      <c r="D36">
        <v>489167.89358707127</v>
      </c>
      <c r="E36">
        <v>11943</v>
      </c>
    </row>
    <row r="37" spans="1:5" x14ac:dyDescent="0.3">
      <c r="A37" s="1" t="s">
        <v>15</v>
      </c>
      <c r="B37">
        <v>2024</v>
      </c>
      <c r="C37">
        <v>12</v>
      </c>
      <c r="D37">
        <v>457029.06069561501</v>
      </c>
      <c r="E37">
        <v>11177</v>
      </c>
    </row>
    <row r="38" spans="1:5" x14ac:dyDescent="0.3">
      <c r="A38" s="1" t="s">
        <v>16</v>
      </c>
      <c r="B38">
        <v>2022</v>
      </c>
      <c r="C38">
        <v>1</v>
      </c>
      <c r="D38">
        <v>477533.79163310985</v>
      </c>
      <c r="E38">
        <v>11766</v>
      </c>
    </row>
    <row r="39" spans="1:5" x14ac:dyDescent="0.3">
      <c r="A39" s="1" t="s">
        <v>16</v>
      </c>
      <c r="B39">
        <v>2022</v>
      </c>
      <c r="C39">
        <v>2</v>
      </c>
      <c r="D39">
        <v>529331.17972923175</v>
      </c>
      <c r="E39">
        <v>12977</v>
      </c>
    </row>
    <row r="40" spans="1:5" x14ac:dyDescent="0.3">
      <c r="A40" s="1" t="s">
        <v>16</v>
      </c>
      <c r="B40">
        <v>2022</v>
      </c>
      <c r="C40">
        <v>3</v>
      </c>
      <c r="D40">
        <v>568304.26818367268</v>
      </c>
      <c r="E40">
        <v>13537</v>
      </c>
    </row>
    <row r="41" spans="1:5" x14ac:dyDescent="0.3">
      <c r="A41" s="1" t="s">
        <v>16</v>
      </c>
      <c r="B41">
        <v>2022</v>
      </c>
      <c r="C41">
        <v>4</v>
      </c>
      <c r="D41">
        <v>602192.4078776777</v>
      </c>
      <c r="E41">
        <v>14737</v>
      </c>
    </row>
    <row r="42" spans="1:5" x14ac:dyDescent="0.3">
      <c r="A42" s="1" t="s">
        <v>16</v>
      </c>
      <c r="B42">
        <v>2022</v>
      </c>
      <c r="C42">
        <v>5</v>
      </c>
      <c r="D42">
        <v>678447.40643065667</v>
      </c>
      <c r="E42">
        <v>16019</v>
      </c>
    </row>
    <row r="43" spans="1:5" x14ac:dyDescent="0.3">
      <c r="A43" s="1" t="s">
        <v>16</v>
      </c>
      <c r="B43">
        <v>2022</v>
      </c>
      <c r="C43">
        <v>6</v>
      </c>
      <c r="D43">
        <v>628155.249275423</v>
      </c>
      <c r="E43">
        <v>15144</v>
      </c>
    </row>
    <row r="44" spans="1:5" x14ac:dyDescent="0.3">
      <c r="A44" s="1" t="s">
        <v>16</v>
      </c>
      <c r="B44">
        <v>2022</v>
      </c>
      <c r="C44">
        <v>7</v>
      </c>
      <c r="D44">
        <v>572105.56558240205</v>
      </c>
      <c r="E44">
        <v>13722</v>
      </c>
    </row>
    <row r="45" spans="1:5" x14ac:dyDescent="0.3">
      <c r="A45" s="1" t="s">
        <v>16</v>
      </c>
      <c r="B45">
        <v>2022</v>
      </c>
      <c r="C45">
        <v>8</v>
      </c>
      <c r="D45">
        <v>554519.56668867252</v>
      </c>
      <c r="E45">
        <v>13576</v>
      </c>
    </row>
    <row r="46" spans="1:5" x14ac:dyDescent="0.3">
      <c r="A46" s="1" t="s">
        <v>16</v>
      </c>
      <c r="B46">
        <v>2022</v>
      </c>
      <c r="C46">
        <v>9</v>
      </c>
      <c r="D46">
        <v>609094.35441151483</v>
      </c>
      <c r="E46">
        <v>14677</v>
      </c>
    </row>
    <row r="47" spans="1:5" x14ac:dyDescent="0.3">
      <c r="A47" s="1" t="s">
        <v>16</v>
      </c>
      <c r="B47">
        <v>2022</v>
      </c>
      <c r="C47">
        <v>10</v>
      </c>
      <c r="D47">
        <v>538611.48071259586</v>
      </c>
      <c r="E47">
        <v>13214</v>
      </c>
    </row>
    <row r="48" spans="1:5" x14ac:dyDescent="0.3">
      <c r="A48" s="1" t="s">
        <v>16</v>
      </c>
      <c r="B48">
        <v>2022</v>
      </c>
      <c r="C48">
        <v>11</v>
      </c>
      <c r="D48">
        <v>641032.30717927834</v>
      </c>
      <c r="E48">
        <v>15438</v>
      </c>
    </row>
    <row r="49" spans="1:5" x14ac:dyDescent="0.3">
      <c r="A49" s="1" t="s">
        <v>16</v>
      </c>
      <c r="B49">
        <v>2022</v>
      </c>
      <c r="C49">
        <v>12</v>
      </c>
      <c r="D49">
        <v>574832.4353754305</v>
      </c>
      <c r="E49">
        <v>13845</v>
      </c>
    </row>
    <row r="50" spans="1:5" x14ac:dyDescent="0.3">
      <c r="A50" s="1" t="s">
        <v>16</v>
      </c>
      <c r="B50">
        <v>2023</v>
      </c>
      <c r="C50">
        <v>1</v>
      </c>
      <c r="D50">
        <v>537536.74148505088</v>
      </c>
      <c r="E50">
        <v>13270</v>
      </c>
    </row>
    <row r="51" spans="1:5" x14ac:dyDescent="0.3">
      <c r="A51" s="1" t="s">
        <v>16</v>
      </c>
      <c r="B51">
        <v>2023</v>
      </c>
      <c r="C51">
        <v>2</v>
      </c>
      <c r="D51">
        <v>522221.33952591312</v>
      </c>
      <c r="E51">
        <v>12986</v>
      </c>
    </row>
    <row r="52" spans="1:5" x14ac:dyDescent="0.3">
      <c r="A52" s="1" t="s">
        <v>16</v>
      </c>
      <c r="B52">
        <v>2023</v>
      </c>
      <c r="C52">
        <v>3</v>
      </c>
      <c r="D52">
        <v>578474.06570592697</v>
      </c>
      <c r="E52">
        <v>14207</v>
      </c>
    </row>
    <row r="53" spans="1:5" x14ac:dyDescent="0.3">
      <c r="A53" s="1" t="s">
        <v>16</v>
      </c>
      <c r="B53">
        <v>2023</v>
      </c>
      <c r="C53">
        <v>4</v>
      </c>
      <c r="D53">
        <v>665188.30899360543</v>
      </c>
      <c r="E53">
        <v>16068</v>
      </c>
    </row>
    <row r="54" spans="1:5" x14ac:dyDescent="0.3">
      <c r="A54" s="1" t="s">
        <v>16</v>
      </c>
      <c r="B54">
        <v>2023</v>
      </c>
      <c r="C54">
        <v>5</v>
      </c>
      <c r="D54">
        <v>652084.79609890864</v>
      </c>
      <c r="E54">
        <v>15925</v>
      </c>
    </row>
    <row r="55" spans="1:5" x14ac:dyDescent="0.3">
      <c r="A55" s="1" t="s">
        <v>16</v>
      </c>
      <c r="B55">
        <v>2023</v>
      </c>
      <c r="C55">
        <v>6</v>
      </c>
      <c r="D55">
        <v>608761.30785270932</v>
      </c>
      <c r="E55">
        <v>14838</v>
      </c>
    </row>
    <row r="56" spans="1:5" x14ac:dyDescent="0.3">
      <c r="A56" s="1" t="s">
        <v>16</v>
      </c>
      <c r="B56">
        <v>2023</v>
      </c>
      <c r="C56">
        <v>7</v>
      </c>
      <c r="D56">
        <v>568420.44970873569</v>
      </c>
      <c r="E56">
        <v>13943</v>
      </c>
    </row>
    <row r="57" spans="1:5" x14ac:dyDescent="0.3">
      <c r="A57" s="1" t="s">
        <v>16</v>
      </c>
      <c r="B57">
        <v>2023</v>
      </c>
      <c r="C57">
        <v>8</v>
      </c>
      <c r="D57">
        <v>611962.32803076506</v>
      </c>
      <c r="E57">
        <v>14329</v>
      </c>
    </row>
    <row r="58" spans="1:5" x14ac:dyDescent="0.3">
      <c r="A58" s="1" t="s">
        <v>16</v>
      </c>
      <c r="B58">
        <v>2023</v>
      </c>
      <c r="C58">
        <v>9</v>
      </c>
      <c r="D58">
        <v>582686.31192065601</v>
      </c>
      <c r="E58">
        <v>14074</v>
      </c>
    </row>
    <row r="59" spans="1:5" x14ac:dyDescent="0.3">
      <c r="A59" s="1" t="s">
        <v>16</v>
      </c>
      <c r="B59">
        <v>2023</v>
      </c>
      <c r="C59">
        <v>10</v>
      </c>
      <c r="D59">
        <v>669422.05307983712</v>
      </c>
      <c r="E59">
        <v>15952</v>
      </c>
    </row>
    <row r="60" spans="1:5" x14ac:dyDescent="0.3">
      <c r="A60" s="1" t="s">
        <v>16</v>
      </c>
      <c r="B60">
        <v>2023</v>
      </c>
      <c r="C60">
        <v>11</v>
      </c>
      <c r="D60">
        <v>675359.94377295289</v>
      </c>
      <c r="E60">
        <v>16481</v>
      </c>
    </row>
    <row r="61" spans="1:5" x14ac:dyDescent="0.3">
      <c r="A61" s="1" t="s">
        <v>16</v>
      </c>
      <c r="B61">
        <v>2023</v>
      </c>
      <c r="C61">
        <v>12</v>
      </c>
      <c r="D61">
        <v>585754.25708618097</v>
      </c>
      <c r="E61">
        <v>14275</v>
      </c>
    </row>
    <row r="62" spans="1:5" x14ac:dyDescent="0.3">
      <c r="A62" s="1" t="s">
        <v>16</v>
      </c>
      <c r="B62">
        <v>2024</v>
      </c>
      <c r="C62">
        <v>1</v>
      </c>
      <c r="D62">
        <v>578573.71760895278</v>
      </c>
      <c r="E62">
        <v>14377</v>
      </c>
    </row>
    <row r="63" spans="1:5" x14ac:dyDescent="0.3">
      <c r="A63" s="1" t="s">
        <v>16</v>
      </c>
      <c r="B63">
        <v>2024</v>
      </c>
      <c r="C63">
        <v>2</v>
      </c>
      <c r="D63">
        <v>519350.06967743102</v>
      </c>
      <c r="E63">
        <v>12848</v>
      </c>
    </row>
    <row r="64" spans="1:5" x14ac:dyDescent="0.3">
      <c r="A64" s="1" t="s">
        <v>16</v>
      </c>
      <c r="B64">
        <v>2024</v>
      </c>
      <c r="C64">
        <v>3</v>
      </c>
      <c r="D64">
        <v>577392.24614493991</v>
      </c>
      <c r="E64">
        <v>13960</v>
      </c>
    </row>
    <row r="65" spans="1:5" x14ac:dyDescent="0.3">
      <c r="A65" s="1" t="s">
        <v>16</v>
      </c>
      <c r="B65">
        <v>2024</v>
      </c>
      <c r="C65">
        <v>4</v>
      </c>
      <c r="D65">
        <v>606663.41322585091</v>
      </c>
      <c r="E65">
        <v>14617</v>
      </c>
    </row>
    <row r="66" spans="1:5" x14ac:dyDescent="0.3">
      <c r="A66" s="1" t="s">
        <v>16</v>
      </c>
      <c r="B66">
        <v>2024</v>
      </c>
      <c r="C66">
        <v>5</v>
      </c>
      <c r="D66">
        <v>595801.27000616502</v>
      </c>
      <c r="E66">
        <v>14458</v>
      </c>
    </row>
    <row r="67" spans="1:5" x14ac:dyDescent="0.3">
      <c r="A67" s="1" t="s">
        <v>16</v>
      </c>
      <c r="B67">
        <v>2024</v>
      </c>
      <c r="C67">
        <v>6</v>
      </c>
      <c r="D67">
        <v>705289.59109211212</v>
      </c>
      <c r="E67">
        <v>17482</v>
      </c>
    </row>
    <row r="68" spans="1:5" x14ac:dyDescent="0.3">
      <c r="A68" s="1" t="s">
        <v>16</v>
      </c>
      <c r="B68">
        <v>2024</v>
      </c>
      <c r="C68">
        <v>7</v>
      </c>
      <c r="D68">
        <v>643486.84970568004</v>
      </c>
      <c r="E68">
        <v>15872</v>
      </c>
    </row>
    <row r="69" spans="1:5" x14ac:dyDescent="0.3">
      <c r="A69" s="1" t="s">
        <v>16</v>
      </c>
      <c r="B69">
        <v>2024</v>
      </c>
      <c r="C69">
        <v>8</v>
      </c>
      <c r="D69">
        <v>550580.10305665969</v>
      </c>
      <c r="E69">
        <v>13125</v>
      </c>
    </row>
    <row r="70" spans="1:5" x14ac:dyDescent="0.3">
      <c r="A70" s="1" t="s">
        <v>16</v>
      </c>
      <c r="B70">
        <v>2024</v>
      </c>
      <c r="C70">
        <v>9</v>
      </c>
      <c r="D70">
        <v>617480.79356707539</v>
      </c>
      <c r="E70">
        <v>14978</v>
      </c>
    </row>
    <row r="71" spans="1:5" x14ac:dyDescent="0.3">
      <c r="A71" s="1" t="s">
        <v>16</v>
      </c>
      <c r="B71">
        <v>2024</v>
      </c>
      <c r="C71">
        <v>10</v>
      </c>
      <c r="D71">
        <v>713835.26317570976</v>
      </c>
      <c r="E71">
        <v>17034</v>
      </c>
    </row>
    <row r="72" spans="1:5" x14ac:dyDescent="0.3">
      <c r="A72" s="1" t="s">
        <v>16</v>
      </c>
      <c r="B72">
        <v>2024</v>
      </c>
      <c r="C72">
        <v>11</v>
      </c>
      <c r="D72">
        <v>600382.63413441356</v>
      </c>
      <c r="E72">
        <v>14302</v>
      </c>
    </row>
    <row r="73" spans="1:5" x14ac:dyDescent="0.3">
      <c r="A73" s="1" t="s">
        <v>16</v>
      </c>
      <c r="B73">
        <v>2024</v>
      </c>
      <c r="C73">
        <v>12</v>
      </c>
      <c r="D73">
        <v>721463.17028952891</v>
      </c>
      <c r="E73">
        <v>17661</v>
      </c>
    </row>
    <row r="74" spans="1:5" x14ac:dyDescent="0.3">
      <c r="A74" s="1" t="s">
        <v>17</v>
      </c>
      <c r="B74">
        <v>2022</v>
      </c>
      <c r="C74">
        <v>1</v>
      </c>
      <c r="D74">
        <v>706482.44619174674</v>
      </c>
      <c r="E74">
        <v>17059</v>
      </c>
    </row>
    <row r="75" spans="1:5" x14ac:dyDescent="0.3">
      <c r="A75" s="1" t="s">
        <v>17</v>
      </c>
      <c r="B75">
        <v>2022</v>
      </c>
      <c r="C75">
        <v>2</v>
      </c>
      <c r="D75">
        <v>753937.18379402242</v>
      </c>
      <c r="E75">
        <v>18811</v>
      </c>
    </row>
    <row r="76" spans="1:5" x14ac:dyDescent="0.3">
      <c r="A76" s="1" t="s">
        <v>17</v>
      </c>
      <c r="B76">
        <v>2022</v>
      </c>
      <c r="C76">
        <v>3</v>
      </c>
      <c r="D76">
        <v>681184.38253711443</v>
      </c>
      <c r="E76">
        <v>16110</v>
      </c>
    </row>
    <row r="77" spans="1:5" x14ac:dyDescent="0.3">
      <c r="A77" s="1" t="s">
        <v>17</v>
      </c>
      <c r="B77">
        <v>2022</v>
      </c>
      <c r="C77">
        <v>4</v>
      </c>
      <c r="D77">
        <v>847180.38292999472</v>
      </c>
      <c r="E77">
        <v>20717</v>
      </c>
    </row>
    <row r="78" spans="1:5" x14ac:dyDescent="0.3">
      <c r="A78" s="1" t="s">
        <v>17</v>
      </c>
      <c r="B78">
        <v>2022</v>
      </c>
      <c r="C78">
        <v>5</v>
      </c>
      <c r="D78">
        <v>903053.58138898178</v>
      </c>
      <c r="E78">
        <v>21703</v>
      </c>
    </row>
    <row r="79" spans="1:5" x14ac:dyDescent="0.3">
      <c r="A79" s="1" t="s">
        <v>17</v>
      </c>
      <c r="B79">
        <v>2022</v>
      </c>
      <c r="C79">
        <v>6</v>
      </c>
      <c r="D79">
        <v>807438.0420214124</v>
      </c>
      <c r="E79">
        <v>19425</v>
      </c>
    </row>
    <row r="80" spans="1:5" x14ac:dyDescent="0.3">
      <c r="A80" s="1" t="s">
        <v>17</v>
      </c>
      <c r="B80">
        <v>2022</v>
      </c>
      <c r="C80">
        <v>7</v>
      </c>
      <c r="D80">
        <v>590370.43629474065</v>
      </c>
      <c r="E80">
        <v>14654</v>
      </c>
    </row>
    <row r="81" spans="1:5" x14ac:dyDescent="0.3">
      <c r="A81" s="1" t="s">
        <v>17</v>
      </c>
      <c r="B81">
        <v>2022</v>
      </c>
      <c r="C81">
        <v>8</v>
      </c>
      <c r="D81">
        <v>702673.08986294025</v>
      </c>
      <c r="E81">
        <v>17442</v>
      </c>
    </row>
    <row r="82" spans="1:5" x14ac:dyDescent="0.3">
      <c r="A82" s="1" t="s">
        <v>17</v>
      </c>
      <c r="B82">
        <v>2022</v>
      </c>
      <c r="C82">
        <v>9</v>
      </c>
      <c r="D82">
        <v>665670.08477547171</v>
      </c>
      <c r="E82">
        <v>16217</v>
      </c>
    </row>
    <row r="83" spans="1:5" x14ac:dyDescent="0.3">
      <c r="A83" s="1" t="s">
        <v>17</v>
      </c>
      <c r="B83">
        <v>2022</v>
      </c>
      <c r="C83">
        <v>10</v>
      </c>
      <c r="D83">
        <v>785614.62569152145</v>
      </c>
      <c r="E83">
        <v>19148</v>
      </c>
    </row>
    <row r="84" spans="1:5" x14ac:dyDescent="0.3">
      <c r="A84" s="1" t="s">
        <v>17</v>
      </c>
      <c r="B84">
        <v>2022</v>
      </c>
      <c r="C84">
        <v>11</v>
      </c>
      <c r="D84">
        <v>732176.57371968974</v>
      </c>
      <c r="E84">
        <v>17782</v>
      </c>
    </row>
    <row r="85" spans="1:5" x14ac:dyDescent="0.3">
      <c r="A85" s="1" t="s">
        <v>17</v>
      </c>
      <c r="B85">
        <v>2022</v>
      </c>
      <c r="C85">
        <v>12</v>
      </c>
      <c r="D85">
        <v>786549.05034963787</v>
      </c>
      <c r="E85">
        <v>19200</v>
      </c>
    </row>
    <row r="86" spans="1:5" x14ac:dyDescent="0.3">
      <c r="A86" s="1" t="s">
        <v>17</v>
      </c>
      <c r="B86">
        <v>2023</v>
      </c>
      <c r="C86">
        <v>1</v>
      </c>
      <c r="D86">
        <v>726074.02949985303</v>
      </c>
      <c r="E86">
        <v>17686</v>
      </c>
    </row>
    <row r="87" spans="1:5" x14ac:dyDescent="0.3">
      <c r="A87" s="1" t="s">
        <v>17</v>
      </c>
      <c r="B87">
        <v>2023</v>
      </c>
      <c r="C87">
        <v>2</v>
      </c>
      <c r="D87">
        <v>759406.62062071916</v>
      </c>
      <c r="E87">
        <v>18433</v>
      </c>
    </row>
    <row r="88" spans="1:5" x14ac:dyDescent="0.3">
      <c r="A88" s="1" t="s">
        <v>17</v>
      </c>
      <c r="B88">
        <v>2023</v>
      </c>
      <c r="C88">
        <v>3</v>
      </c>
      <c r="D88">
        <v>732563.67023133743</v>
      </c>
      <c r="E88">
        <v>17862</v>
      </c>
    </row>
    <row r="89" spans="1:5" x14ac:dyDescent="0.3">
      <c r="A89" s="1" t="s">
        <v>17</v>
      </c>
      <c r="B89">
        <v>2023</v>
      </c>
      <c r="C89">
        <v>4</v>
      </c>
      <c r="D89">
        <v>869191.32511891017</v>
      </c>
      <c r="E89">
        <v>20937</v>
      </c>
    </row>
    <row r="90" spans="1:5" x14ac:dyDescent="0.3">
      <c r="A90" s="1" t="s">
        <v>17</v>
      </c>
      <c r="B90">
        <v>2023</v>
      </c>
      <c r="C90">
        <v>5</v>
      </c>
      <c r="D90">
        <v>824962.04611089698</v>
      </c>
      <c r="E90">
        <v>19943</v>
      </c>
    </row>
    <row r="91" spans="1:5" x14ac:dyDescent="0.3">
      <c r="A91" s="1" t="s">
        <v>17</v>
      </c>
      <c r="B91">
        <v>2023</v>
      </c>
      <c r="C91">
        <v>6</v>
      </c>
      <c r="D91">
        <v>1010964.7552160099</v>
      </c>
      <c r="E91">
        <v>24205</v>
      </c>
    </row>
    <row r="92" spans="1:5" x14ac:dyDescent="0.3">
      <c r="A92" s="1" t="s">
        <v>17</v>
      </c>
      <c r="B92">
        <v>2023</v>
      </c>
      <c r="C92">
        <v>7</v>
      </c>
      <c r="D92">
        <v>723486.28144130821</v>
      </c>
      <c r="E92">
        <v>17844</v>
      </c>
    </row>
    <row r="93" spans="1:5" x14ac:dyDescent="0.3">
      <c r="A93" s="1" t="s">
        <v>17</v>
      </c>
      <c r="B93">
        <v>2023</v>
      </c>
      <c r="C93">
        <v>8</v>
      </c>
      <c r="D93">
        <v>795595.47325981199</v>
      </c>
      <c r="E93">
        <v>19505</v>
      </c>
    </row>
    <row r="94" spans="1:5" x14ac:dyDescent="0.3">
      <c r="A94" s="1" t="s">
        <v>17</v>
      </c>
      <c r="B94">
        <v>2023</v>
      </c>
      <c r="C94">
        <v>9</v>
      </c>
      <c r="D94">
        <v>619617.34632872907</v>
      </c>
      <c r="E94">
        <v>15352</v>
      </c>
    </row>
    <row r="95" spans="1:5" x14ac:dyDescent="0.3">
      <c r="A95" s="1" t="s">
        <v>17</v>
      </c>
      <c r="B95">
        <v>2023</v>
      </c>
      <c r="C95">
        <v>10</v>
      </c>
      <c r="D95">
        <v>823219.53567227558</v>
      </c>
      <c r="E95">
        <v>19854</v>
      </c>
    </row>
    <row r="96" spans="1:5" x14ac:dyDescent="0.3">
      <c r="A96" s="1" t="s">
        <v>17</v>
      </c>
      <c r="B96">
        <v>2023</v>
      </c>
      <c r="C96">
        <v>11</v>
      </c>
      <c r="D96">
        <v>943577.41710831155</v>
      </c>
      <c r="E96">
        <v>22879</v>
      </c>
    </row>
    <row r="97" spans="1:5" x14ac:dyDescent="0.3">
      <c r="A97" s="1" t="s">
        <v>17</v>
      </c>
      <c r="B97">
        <v>2023</v>
      </c>
      <c r="C97">
        <v>12</v>
      </c>
      <c r="D97">
        <v>894678.4144111058</v>
      </c>
      <c r="E97">
        <v>21741</v>
      </c>
    </row>
    <row r="98" spans="1:5" x14ac:dyDescent="0.3">
      <c r="A98" s="1" t="s">
        <v>17</v>
      </c>
      <c r="B98">
        <v>2024</v>
      </c>
      <c r="C98">
        <v>1</v>
      </c>
      <c r="D98">
        <v>766260.22031022259</v>
      </c>
      <c r="E98">
        <v>18573</v>
      </c>
    </row>
    <row r="99" spans="1:5" x14ac:dyDescent="0.3">
      <c r="A99" s="1" t="s">
        <v>17</v>
      </c>
      <c r="B99">
        <v>2024</v>
      </c>
      <c r="C99">
        <v>2</v>
      </c>
      <c r="D99">
        <v>690399.96001625643</v>
      </c>
      <c r="E99">
        <v>16797</v>
      </c>
    </row>
    <row r="100" spans="1:5" x14ac:dyDescent="0.3">
      <c r="A100" s="1" t="s">
        <v>17</v>
      </c>
      <c r="B100">
        <v>2024</v>
      </c>
      <c r="C100">
        <v>3</v>
      </c>
      <c r="D100">
        <v>723813.64092813258</v>
      </c>
      <c r="E100">
        <v>17793</v>
      </c>
    </row>
    <row r="101" spans="1:5" x14ac:dyDescent="0.3">
      <c r="A101" s="1" t="s">
        <v>17</v>
      </c>
      <c r="B101">
        <v>2024</v>
      </c>
      <c r="C101">
        <v>4</v>
      </c>
      <c r="D101">
        <v>975278.25697451353</v>
      </c>
      <c r="E101">
        <v>23307</v>
      </c>
    </row>
    <row r="102" spans="1:5" x14ac:dyDescent="0.3">
      <c r="A102" s="1" t="s">
        <v>17</v>
      </c>
      <c r="B102">
        <v>2024</v>
      </c>
      <c r="C102">
        <v>5</v>
      </c>
      <c r="D102">
        <v>906544.36640190927</v>
      </c>
      <c r="E102">
        <v>21714</v>
      </c>
    </row>
    <row r="103" spans="1:5" x14ac:dyDescent="0.3">
      <c r="A103" s="1" t="s">
        <v>17</v>
      </c>
      <c r="B103">
        <v>2024</v>
      </c>
      <c r="C103">
        <v>6</v>
      </c>
      <c r="D103">
        <v>849450.31757126295</v>
      </c>
      <c r="E103">
        <v>20876</v>
      </c>
    </row>
    <row r="104" spans="1:5" x14ac:dyDescent="0.3">
      <c r="A104" s="1" t="s">
        <v>17</v>
      </c>
      <c r="B104">
        <v>2024</v>
      </c>
      <c r="C104">
        <v>7</v>
      </c>
      <c r="D104">
        <v>719499.17105779692</v>
      </c>
      <c r="E104">
        <v>17578</v>
      </c>
    </row>
    <row r="105" spans="1:5" x14ac:dyDescent="0.3">
      <c r="A105" s="1" t="s">
        <v>17</v>
      </c>
      <c r="B105">
        <v>2024</v>
      </c>
      <c r="C105">
        <v>8</v>
      </c>
      <c r="D105">
        <v>622964.63097408926</v>
      </c>
      <c r="E105">
        <v>15747</v>
      </c>
    </row>
    <row r="106" spans="1:5" x14ac:dyDescent="0.3">
      <c r="A106" s="1" t="s">
        <v>17</v>
      </c>
      <c r="B106">
        <v>2024</v>
      </c>
      <c r="C106">
        <v>9</v>
      </c>
      <c r="D106">
        <v>724927.02892713936</v>
      </c>
      <c r="E106">
        <v>17585</v>
      </c>
    </row>
    <row r="107" spans="1:5" x14ac:dyDescent="0.3">
      <c r="A107" s="1" t="s">
        <v>17</v>
      </c>
      <c r="B107">
        <v>2024</v>
      </c>
      <c r="C107">
        <v>10</v>
      </c>
      <c r="D107">
        <v>887362.3226612499</v>
      </c>
      <c r="E107">
        <v>21652</v>
      </c>
    </row>
    <row r="108" spans="1:5" x14ac:dyDescent="0.3">
      <c r="A108" s="1" t="s">
        <v>17</v>
      </c>
      <c r="B108">
        <v>2024</v>
      </c>
      <c r="C108">
        <v>11</v>
      </c>
      <c r="D108">
        <v>733633.37040731905</v>
      </c>
      <c r="E108">
        <v>18165</v>
      </c>
    </row>
    <row r="109" spans="1:5" x14ac:dyDescent="0.3">
      <c r="A109" s="1" t="s">
        <v>17</v>
      </c>
      <c r="B109">
        <v>2024</v>
      </c>
      <c r="C109">
        <v>12</v>
      </c>
      <c r="D109">
        <v>736265.61942646385</v>
      </c>
      <c r="E109">
        <v>18045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6988-D28C-4335-8CE7-9932331E4651}">
  <dimension ref="A1:F577"/>
  <sheetViews>
    <sheetView workbookViewId="0">
      <selection activeCell="C3" sqref="C3"/>
    </sheetView>
  </sheetViews>
  <sheetFormatPr defaultRowHeight="14.4" x14ac:dyDescent="0.3"/>
  <cols>
    <col min="1" max="1" width="9.77734375" bestFit="1" customWidth="1"/>
    <col min="2" max="2" width="8.33203125" bestFit="1" customWidth="1"/>
    <col min="3" max="3" width="6.77734375" bestFit="1" customWidth="1"/>
    <col min="4" max="4" width="8.5546875" bestFit="1" customWidth="1"/>
    <col min="5" max="5" width="12" bestFit="1" customWidth="1"/>
    <col min="6" max="6" width="7.33203125" bestFit="1" customWidth="1"/>
  </cols>
  <sheetData>
    <row r="1" spans="1:6" x14ac:dyDescent="0.3">
      <c r="A1" t="s">
        <v>0</v>
      </c>
      <c r="B1" t="s">
        <v>1</v>
      </c>
      <c r="C1" t="s">
        <v>2</v>
      </c>
      <c r="D1" t="s">
        <v>3</v>
      </c>
      <c r="E1" t="s">
        <v>4</v>
      </c>
      <c r="F1" t="s">
        <v>5</v>
      </c>
    </row>
    <row r="2" spans="1:6" x14ac:dyDescent="0.3">
      <c r="A2" s="1" t="s">
        <v>6</v>
      </c>
      <c r="B2" s="1" t="s">
        <v>7</v>
      </c>
      <c r="C2">
        <v>2022</v>
      </c>
      <c r="D2">
        <v>1</v>
      </c>
      <c r="E2">
        <v>181677.56585415459</v>
      </c>
      <c r="F2">
        <v>3615</v>
      </c>
    </row>
    <row r="3" spans="1:6" x14ac:dyDescent="0.3">
      <c r="A3" s="1" t="s">
        <v>6</v>
      </c>
      <c r="B3" s="1" t="s">
        <v>7</v>
      </c>
      <c r="C3">
        <v>2022</v>
      </c>
      <c r="D3">
        <v>2</v>
      </c>
      <c r="E3">
        <v>259740.53601633082</v>
      </c>
      <c r="F3">
        <v>5284</v>
      </c>
    </row>
    <row r="4" spans="1:6" x14ac:dyDescent="0.3">
      <c r="A4" s="1" t="s">
        <v>6</v>
      </c>
      <c r="B4" s="1" t="s">
        <v>7</v>
      </c>
      <c r="C4">
        <v>2022</v>
      </c>
      <c r="D4">
        <v>3</v>
      </c>
      <c r="E4">
        <v>176988.1766129192</v>
      </c>
      <c r="F4">
        <v>3563</v>
      </c>
    </row>
    <row r="5" spans="1:6" x14ac:dyDescent="0.3">
      <c r="A5" s="1" t="s">
        <v>6</v>
      </c>
      <c r="B5" s="1" t="s">
        <v>7</v>
      </c>
      <c r="C5">
        <v>2022</v>
      </c>
      <c r="D5">
        <v>4</v>
      </c>
      <c r="E5">
        <v>260083.32735567121</v>
      </c>
      <c r="F5">
        <v>5371</v>
      </c>
    </row>
    <row r="6" spans="1:6" x14ac:dyDescent="0.3">
      <c r="A6" s="1" t="s">
        <v>6</v>
      </c>
      <c r="B6" s="1" t="s">
        <v>7</v>
      </c>
      <c r="C6">
        <v>2022</v>
      </c>
      <c r="D6">
        <v>5</v>
      </c>
      <c r="E6">
        <v>242574.22542050949</v>
      </c>
      <c r="F6">
        <v>4816</v>
      </c>
    </row>
    <row r="7" spans="1:6" x14ac:dyDescent="0.3">
      <c r="A7" s="1" t="s">
        <v>6</v>
      </c>
      <c r="B7" s="1" t="s">
        <v>7</v>
      </c>
      <c r="C7">
        <v>2022</v>
      </c>
      <c r="D7">
        <v>6</v>
      </c>
      <c r="E7">
        <v>213668.0411792348</v>
      </c>
      <c r="F7">
        <v>4269</v>
      </c>
    </row>
    <row r="8" spans="1:6" x14ac:dyDescent="0.3">
      <c r="A8" s="1" t="s">
        <v>6</v>
      </c>
      <c r="B8" s="1" t="s">
        <v>7</v>
      </c>
      <c r="C8">
        <v>2022</v>
      </c>
      <c r="D8">
        <v>7</v>
      </c>
      <c r="E8">
        <v>194480.56871561019</v>
      </c>
      <c r="F8">
        <v>3779</v>
      </c>
    </row>
    <row r="9" spans="1:6" x14ac:dyDescent="0.3">
      <c r="A9" s="1" t="s">
        <v>6</v>
      </c>
      <c r="B9" s="1" t="s">
        <v>7</v>
      </c>
      <c r="C9">
        <v>2022</v>
      </c>
      <c r="D9">
        <v>8</v>
      </c>
      <c r="E9">
        <v>163423.38124994191</v>
      </c>
      <c r="F9">
        <v>3230</v>
      </c>
    </row>
    <row r="10" spans="1:6" x14ac:dyDescent="0.3">
      <c r="A10" s="1" t="s">
        <v>6</v>
      </c>
      <c r="B10" s="1" t="s">
        <v>7</v>
      </c>
      <c r="C10">
        <v>2022</v>
      </c>
      <c r="D10">
        <v>9</v>
      </c>
      <c r="E10">
        <v>231972.65948027381</v>
      </c>
      <c r="F10">
        <v>4541</v>
      </c>
    </row>
    <row r="11" spans="1:6" x14ac:dyDescent="0.3">
      <c r="A11" s="1" t="s">
        <v>6</v>
      </c>
      <c r="B11" s="1" t="s">
        <v>7</v>
      </c>
      <c r="C11">
        <v>2022</v>
      </c>
      <c r="D11">
        <v>10</v>
      </c>
      <c r="E11">
        <v>199267.7238124678</v>
      </c>
      <c r="F11">
        <v>4075</v>
      </c>
    </row>
    <row r="12" spans="1:6" x14ac:dyDescent="0.3">
      <c r="A12" s="1" t="s">
        <v>6</v>
      </c>
      <c r="B12" s="1" t="s">
        <v>7</v>
      </c>
      <c r="C12">
        <v>2022</v>
      </c>
      <c r="D12">
        <v>11</v>
      </c>
      <c r="E12">
        <v>281692.89637871983</v>
      </c>
      <c r="F12">
        <v>5752</v>
      </c>
    </row>
    <row r="13" spans="1:6" x14ac:dyDescent="0.3">
      <c r="A13" s="1" t="s">
        <v>6</v>
      </c>
      <c r="B13" s="1" t="s">
        <v>7</v>
      </c>
      <c r="C13">
        <v>2022</v>
      </c>
      <c r="D13">
        <v>12</v>
      </c>
      <c r="E13">
        <v>293426.33496811043</v>
      </c>
      <c r="F13">
        <v>5688</v>
      </c>
    </row>
    <row r="14" spans="1:6" x14ac:dyDescent="0.3">
      <c r="A14" s="1" t="s">
        <v>6</v>
      </c>
      <c r="B14" s="1" t="s">
        <v>7</v>
      </c>
      <c r="C14">
        <v>2023</v>
      </c>
      <c r="D14">
        <v>1</v>
      </c>
      <c r="E14">
        <v>215445.81771992921</v>
      </c>
      <c r="F14">
        <v>4255</v>
      </c>
    </row>
    <row r="15" spans="1:6" x14ac:dyDescent="0.3">
      <c r="A15" s="1" t="s">
        <v>6</v>
      </c>
      <c r="B15" s="1" t="s">
        <v>7</v>
      </c>
      <c r="C15">
        <v>2023</v>
      </c>
      <c r="D15">
        <v>2</v>
      </c>
      <c r="E15">
        <v>241201.79535987071</v>
      </c>
      <c r="F15">
        <v>4880</v>
      </c>
    </row>
    <row r="16" spans="1:6" x14ac:dyDescent="0.3">
      <c r="A16" s="1" t="s">
        <v>6</v>
      </c>
      <c r="B16" s="1" t="s">
        <v>7</v>
      </c>
      <c r="C16">
        <v>2023</v>
      </c>
      <c r="D16">
        <v>3</v>
      </c>
      <c r="E16">
        <v>188913.29674027511</v>
      </c>
      <c r="F16">
        <v>3791</v>
      </c>
    </row>
    <row r="17" spans="1:6" x14ac:dyDescent="0.3">
      <c r="A17" s="1" t="s">
        <v>6</v>
      </c>
      <c r="B17" s="1" t="s">
        <v>7</v>
      </c>
      <c r="C17">
        <v>2023</v>
      </c>
      <c r="D17">
        <v>4</v>
      </c>
      <c r="E17">
        <v>217348.33900091841</v>
      </c>
      <c r="F17">
        <v>4357</v>
      </c>
    </row>
    <row r="18" spans="1:6" x14ac:dyDescent="0.3">
      <c r="A18" s="1" t="s">
        <v>6</v>
      </c>
      <c r="B18" s="1" t="s">
        <v>7</v>
      </c>
      <c r="C18">
        <v>2023</v>
      </c>
      <c r="D18">
        <v>5</v>
      </c>
      <c r="E18">
        <v>250455.30762356939</v>
      </c>
      <c r="F18">
        <v>4938</v>
      </c>
    </row>
    <row r="19" spans="1:6" x14ac:dyDescent="0.3">
      <c r="A19" s="1" t="s">
        <v>6</v>
      </c>
      <c r="B19" s="1" t="s">
        <v>7</v>
      </c>
      <c r="C19">
        <v>2023</v>
      </c>
      <c r="D19">
        <v>6</v>
      </c>
      <c r="E19">
        <v>259659.2421693333</v>
      </c>
      <c r="F19">
        <v>5144</v>
      </c>
    </row>
    <row r="20" spans="1:6" x14ac:dyDescent="0.3">
      <c r="A20" s="1" t="s">
        <v>6</v>
      </c>
      <c r="B20" s="1" t="s">
        <v>7</v>
      </c>
      <c r="C20">
        <v>2023</v>
      </c>
      <c r="D20">
        <v>7</v>
      </c>
      <c r="E20">
        <v>183427.3257737142</v>
      </c>
      <c r="F20">
        <v>3723</v>
      </c>
    </row>
    <row r="21" spans="1:6" x14ac:dyDescent="0.3">
      <c r="A21" s="1" t="s">
        <v>6</v>
      </c>
      <c r="B21" s="1" t="s">
        <v>7</v>
      </c>
      <c r="C21">
        <v>2023</v>
      </c>
      <c r="D21">
        <v>8</v>
      </c>
      <c r="E21">
        <v>227362.06695112982</v>
      </c>
      <c r="F21">
        <v>4549</v>
      </c>
    </row>
    <row r="22" spans="1:6" x14ac:dyDescent="0.3">
      <c r="A22" s="1" t="s">
        <v>6</v>
      </c>
      <c r="B22" s="1" t="s">
        <v>7</v>
      </c>
      <c r="C22">
        <v>2023</v>
      </c>
      <c r="D22">
        <v>9</v>
      </c>
      <c r="E22">
        <v>214979.39065264069</v>
      </c>
      <c r="F22">
        <v>4232</v>
      </c>
    </row>
    <row r="23" spans="1:6" x14ac:dyDescent="0.3">
      <c r="A23" s="1" t="s">
        <v>6</v>
      </c>
      <c r="B23" s="1" t="s">
        <v>7</v>
      </c>
      <c r="C23">
        <v>2023</v>
      </c>
      <c r="D23">
        <v>10</v>
      </c>
      <c r="E23">
        <v>298264.27585013339</v>
      </c>
      <c r="F23">
        <v>5787</v>
      </c>
    </row>
    <row r="24" spans="1:6" x14ac:dyDescent="0.3">
      <c r="A24" s="1" t="s">
        <v>6</v>
      </c>
      <c r="B24" s="1" t="s">
        <v>7</v>
      </c>
      <c r="C24">
        <v>2023</v>
      </c>
      <c r="D24">
        <v>11</v>
      </c>
      <c r="E24">
        <v>235313.14402240788</v>
      </c>
      <c r="F24">
        <v>4894</v>
      </c>
    </row>
    <row r="25" spans="1:6" x14ac:dyDescent="0.3">
      <c r="A25" s="1" t="s">
        <v>6</v>
      </c>
      <c r="B25" s="1" t="s">
        <v>7</v>
      </c>
      <c r="C25">
        <v>2023</v>
      </c>
      <c r="D25">
        <v>12</v>
      </c>
      <c r="E25">
        <v>244622.67262064791</v>
      </c>
      <c r="F25">
        <v>4828</v>
      </c>
    </row>
    <row r="26" spans="1:6" x14ac:dyDescent="0.3">
      <c r="A26" s="1" t="s">
        <v>6</v>
      </c>
      <c r="B26" s="1" t="s">
        <v>7</v>
      </c>
      <c r="C26">
        <v>2024</v>
      </c>
      <c r="D26">
        <v>1</v>
      </c>
      <c r="E26">
        <v>177197.89796409191</v>
      </c>
      <c r="F26">
        <v>3548</v>
      </c>
    </row>
    <row r="27" spans="1:6" x14ac:dyDescent="0.3">
      <c r="A27" s="1" t="s">
        <v>6</v>
      </c>
      <c r="B27" s="1" t="s">
        <v>7</v>
      </c>
      <c r="C27">
        <v>2024</v>
      </c>
      <c r="D27">
        <v>2</v>
      </c>
      <c r="E27">
        <v>188874.32438656909</v>
      </c>
      <c r="F27">
        <v>3847</v>
      </c>
    </row>
    <row r="28" spans="1:6" x14ac:dyDescent="0.3">
      <c r="A28" s="1" t="s">
        <v>6</v>
      </c>
      <c r="B28" s="1" t="s">
        <v>7</v>
      </c>
      <c r="C28">
        <v>2024</v>
      </c>
      <c r="D28">
        <v>3</v>
      </c>
      <c r="E28">
        <v>180811.1429454351</v>
      </c>
      <c r="F28">
        <v>3646</v>
      </c>
    </row>
    <row r="29" spans="1:6" x14ac:dyDescent="0.3">
      <c r="A29" s="1" t="s">
        <v>6</v>
      </c>
      <c r="B29" s="1" t="s">
        <v>7</v>
      </c>
      <c r="C29">
        <v>2024</v>
      </c>
      <c r="D29">
        <v>4</v>
      </c>
      <c r="E29">
        <v>274667.61010190821</v>
      </c>
      <c r="F29">
        <v>5460</v>
      </c>
    </row>
    <row r="30" spans="1:6" x14ac:dyDescent="0.3">
      <c r="A30" s="1" t="s">
        <v>6</v>
      </c>
      <c r="B30" s="1" t="s">
        <v>7</v>
      </c>
      <c r="C30">
        <v>2024</v>
      </c>
      <c r="D30">
        <v>5</v>
      </c>
      <c r="E30">
        <v>216807.3261823878</v>
      </c>
      <c r="F30">
        <v>4396</v>
      </c>
    </row>
    <row r="31" spans="1:6" x14ac:dyDescent="0.3">
      <c r="A31" s="1" t="s">
        <v>6</v>
      </c>
      <c r="B31" s="1" t="s">
        <v>7</v>
      </c>
      <c r="C31">
        <v>2024</v>
      </c>
      <c r="D31">
        <v>6</v>
      </c>
      <c r="E31">
        <v>227758.1924218777</v>
      </c>
      <c r="F31">
        <v>4580</v>
      </c>
    </row>
    <row r="32" spans="1:6" x14ac:dyDescent="0.3">
      <c r="A32" s="1" t="s">
        <v>6</v>
      </c>
      <c r="B32" s="1" t="s">
        <v>7</v>
      </c>
      <c r="C32">
        <v>2024</v>
      </c>
      <c r="D32">
        <v>7</v>
      </c>
      <c r="E32">
        <v>230877.00882914118</v>
      </c>
      <c r="F32">
        <v>4753</v>
      </c>
    </row>
    <row r="33" spans="1:6" x14ac:dyDescent="0.3">
      <c r="A33" s="1" t="s">
        <v>6</v>
      </c>
      <c r="B33" s="1" t="s">
        <v>7</v>
      </c>
      <c r="C33">
        <v>2024</v>
      </c>
      <c r="D33">
        <v>8</v>
      </c>
      <c r="E33">
        <v>187627.51160696492</v>
      </c>
      <c r="F33">
        <v>3759</v>
      </c>
    </row>
    <row r="34" spans="1:6" x14ac:dyDescent="0.3">
      <c r="A34" s="1" t="s">
        <v>6</v>
      </c>
      <c r="B34" s="1" t="s">
        <v>7</v>
      </c>
      <c r="C34">
        <v>2024</v>
      </c>
      <c r="D34">
        <v>9</v>
      </c>
      <c r="E34">
        <v>196134.1827791463</v>
      </c>
      <c r="F34">
        <v>3860</v>
      </c>
    </row>
    <row r="35" spans="1:6" x14ac:dyDescent="0.3">
      <c r="A35" s="1" t="s">
        <v>6</v>
      </c>
      <c r="B35" s="1" t="s">
        <v>7</v>
      </c>
      <c r="C35">
        <v>2024</v>
      </c>
      <c r="D35">
        <v>10</v>
      </c>
      <c r="E35">
        <v>243289.48767565421</v>
      </c>
      <c r="F35">
        <v>4855</v>
      </c>
    </row>
    <row r="36" spans="1:6" x14ac:dyDescent="0.3">
      <c r="A36" s="1" t="s">
        <v>6</v>
      </c>
      <c r="B36" s="1" t="s">
        <v>7</v>
      </c>
      <c r="C36">
        <v>2024</v>
      </c>
      <c r="D36">
        <v>11</v>
      </c>
      <c r="E36">
        <v>175950.94693867961</v>
      </c>
      <c r="F36">
        <v>3529</v>
      </c>
    </row>
    <row r="37" spans="1:6" x14ac:dyDescent="0.3">
      <c r="A37" s="1" t="s">
        <v>6</v>
      </c>
      <c r="B37" s="1" t="s">
        <v>7</v>
      </c>
      <c r="C37">
        <v>2024</v>
      </c>
      <c r="D37">
        <v>12</v>
      </c>
      <c r="E37">
        <v>211130.89497765992</v>
      </c>
      <c r="F37">
        <v>4210</v>
      </c>
    </row>
    <row r="38" spans="1:6" x14ac:dyDescent="0.3">
      <c r="A38" s="1" t="s">
        <v>6</v>
      </c>
      <c r="B38" s="1" t="s">
        <v>8</v>
      </c>
      <c r="C38">
        <v>2022</v>
      </c>
      <c r="D38">
        <v>1</v>
      </c>
      <c r="E38">
        <v>231361.43331923141</v>
      </c>
      <c r="F38">
        <v>4785</v>
      </c>
    </row>
    <row r="39" spans="1:6" x14ac:dyDescent="0.3">
      <c r="A39" s="1" t="s">
        <v>6</v>
      </c>
      <c r="B39" s="1" t="s">
        <v>8</v>
      </c>
      <c r="C39">
        <v>2022</v>
      </c>
      <c r="D39">
        <v>2</v>
      </c>
      <c r="E39">
        <v>223222.42875380319</v>
      </c>
      <c r="F39">
        <v>4502</v>
      </c>
    </row>
    <row r="40" spans="1:6" x14ac:dyDescent="0.3">
      <c r="A40" s="1" t="s">
        <v>6</v>
      </c>
      <c r="B40" s="1" t="s">
        <v>8</v>
      </c>
      <c r="C40">
        <v>2022</v>
      </c>
      <c r="D40">
        <v>3</v>
      </c>
      <c r="E40">
        <v>285659.45950262318</v>
      </c>
      <c r="F40">
        <v>5606</v>
      </c>
    </row>
    <row r="41" spans="1:6" x14ac:dyDescent="0.3">
      <c r="A41" s="1" t="s">
        <v>6</v>
      </c>
      <c r="B41" s="1" t="s">
        <v>8</v>
      </c>
      <c r="C41">
        <v>2022</v>
      </c>
      <c r="D41">
        <v>4</v>
      </c>
      <c r="E41">
        <v>261812.42156352272</v>
      </c>
      <c r="F41">
        <v>5283</v>
      </c>
    </row>
    <row r="42" spans="1:6" x14ac:dyDescent="0.3">
      <c r="A42" s="1" t="s">
        <v>6</v>
      </c>
      <c r="B42" s="1" t="s">
        <v>8</v>
      </c>
      <c r="C42">
        <v>2022</v>
      </c>
      <c r="D42">
        <v>5</v>
      </c>
      <c r="E42">
        <v>255868.61376091369</v>
      </c>
      <c r="F42">
        <v>4975</v>
      </c>
    </row>
    <row r="43" spans="1:6" x14ac:dyDescent="0.3">
      <c r="A43" s="1" t="s">
        <v>6</v>
      </c>
      <c r="B43" s="1" t="s">
        <v>8</v>
      </c>
      <c r="C43">
        <v>2022</v>
      </c>
      <c r="D43">
        <v>6</v>
      </c>
      <c r="E43">
        <v>317871.42388270929</v>
      </c>
      <c r="F43">
        <v>6235</v>
      </c>
    </row>
    <row r="44" spans="1:6" x14ac:dyDescent="0.3">
      <c r="A44" s="1" t="s">
        <v>6</v>
      </c>
      <c r="B44" s="1" t="s">
        <v>8</v>
      </c>
      <c r="C44">
        <v>2022</v>
      </c>
      <c r="D44">
        <v>7</v>
      </c>
      <c r="E44">
        <v>197318.6726783285</v>
      </c>
      <c r="F44">
        <v>3935</v>
      </c>
    </row>
    <row r="45" spans="1:6" x14ac:dyDescent="0.3">
      <c r="A45" s="1" t="s">
        <v>6</v>
      </c>
      <c r="B45" s="1" t="s">
        <v>8</v>
      </c>
      <c r="C45">
        <v>2022</v>
      </c>
      <c r="D45">
        <v>8</v>
      </c>
      <c r="E45">
        <v>199218.37536578422</v>
      </c>
      <c r="F45">
        <v>3956</v>
      </c>
    </row>
    <row r="46" spans="1:6" x14ac:dyDescent="0.3">
      <c r="A46" s="1" t="s">
        <v>6</v>
      </c>
      <c r="B46" s="1" t="s">
        <v>8</v>
      </c>
      <c r="C46">
        <v>2022</v>
      </c>
      <c r="D46">
        <v>9</v>
      </c>
      <c r="E46">
        <v>215868.65789982228</v>
      </c>
      <c r="F46">
        <v>4330</v>
      </c>
    </row>
    <row r="47" spans="1:6" x14ac:dyDescent="0.3">
      <c r="A47" s="1" t="s">
        <v>6</v>
      </c>
      <c r="B47" s="1" t="s">
        <v>8</v>
      </c>
      <c r="C47">
        <v>2022</v>
      </c>
      <c r="D47">
        <v>10</v>
      </c>
      <c r="E47">
        <v>233950.52553702838</v>
      </c>
      <c r="F47">
        <v>4632</v>
      </c>
    </row>
    <row r="48" spans="1:6" x14ac:dyDescent="0.3">
      <c r="A48" s="1" t="s">
        <v>6</v>
      </c>
      <c r="B48" s="1" t="s">
        <v>8</v>
      </c>
      <c r="C48">
        <v>2022</v>
      </c>
      <c r="D48">
        <v>11</v>
      </c>
      <c r="E48">
        <v>288219.25523284462</v>
      </c>
      <c r="F48">
        <v>5739</v>
      </c>
    </row>
    <row r="49" spans="1:6" x14ac:dyDescent="0.3">
      <c r="A49" s="1" t="s">
        <v>6</v>
      </c>
      <c r="B49" s="1" t="s">
        <v>8</v>
      </c>
      <c r="C49">
        <v>2022</v>
      </c>
      <c r="D49">
        <v>12</v>
      </c>
      <c r="E49">
        <v>250342.2799427404</v>
      </c>
      <c r="F49">
        <v>4936</v>
      </c>
    </row>
    <row r="50" spans="1:6" x14ac:dyDescent="0.3">
      <c r="A50" s="1" t="s">
        <v>6</v>
      </c>
      <c r="B50" s="1" t="s">
        <v>8</v>
      </c>
      <c r="C50">
        <v>2023</v>
      </c>
      <c r="D50">
        <v>1</v>
      </c>
      <c r="E50">
        <v>234699.07763864612</v>
      </c>
      <c r="F50">
        <v>4680</v>
      </c>
    </row>
    <row r="51" spans="1:6" x14ac:dyDescent="0.3">
      <c r="A51" s="1" t="s">
        <v>6</v>
      </c>
      <c r="B51" s="1" t="s">
        <v>8</v>
      </c>
      <c r="C51">
        <v>2023</v>
      </c>
      <c r="D51">
        <v>2</v>
      </c>
      <c r="E51">
        <v>173460.34406187589</v>
      </c>
      <c r="F51">
        <v>3576</v>
      </c>
    </row>
    <row r="52" spans="1:6" x14ac:dyDescent="0.3">
      <c r="A52" s="1" t="s">
        <v>6</v>
      </c>
      <c r="B52" s="1" t="s">
        <v>8</v>
      </c>
      <c r="C52">
        <v>2023</v>
      </c>
      <c r="D52">
        <v>3</v>
      </c>
      <c r="E52">
        <v>204835.71417552099</v>
      </c>
      <c r="F52">
        <v>4030</v>
      </c>
    </row>
    <row r="53" spans="1:6" x14ac:dyDescent="0.3">
      <c r="A53" s="1" t="s">
        <v>6</v>
      </c>
      <c r="B53" s="1" t="s">
        <v>8</v>
      </c>
      <c r="C53">
        <v>2023</v>
      </c>
      <c r="D53">
        <v>4</v>
      </c>
      <c r="E53">
        <v>349397.53283478506</v>
      </c>
      <c r="F53">
        <v>6985</v>
      </c>
    </row>
    <row r="54" spans="1:6" x14ac:dyDescent="0.3">
      <c r="A54" s="1" t="s">
        <v>6</v>
      </c>
      <c r="B54" s="1" t="s">
        <v>8</v>
      </c>
      <c r="C54">
        <v>2023</v>
      </c>
      <c r="D54">
        <v>5</v>
      </c>
      <c r="E54">
        <v>269259.39085924253</v>
      </c>
      <c r="F54">
        <v>5316</v>
      </c>
    </row>
    <row r="55" spans="1:6" x14ac:dyDescent="0.3">
      <c r="A55" s="1" t="s">
        <v>6</v>
      </c>
      <c r="B55" s="1" t="s">
        <v>8</v>
      </c>
      <c r="C55">
        <v>2023</v>
      </c>
      <c r="D55">
        <v>6</v>
      </c>
      <c r="E55">
        <v>286223.57025738631</v>
      </c>
      <c r="F55">
        <v>5641</v>
      </c>
    </row>
    <row r="56" spans="1:6" x14ac:dyDescent="0.3">
      <c r="A56" s="1" t="s">
        <v>6</v>
      </c>
      <c r="B56" s="1" t="s">
        <v>8</v>
      </c>
      <c r="C56">
        <v>2023</v>
      </c>
      <c r="D56">
        <v>7</v>
      </c>
      <c r="E56">
        <v>260909.76495494152</v>
      </c>
      <c r="F56">
        <v>5362</v>
      </c>
    </row>
    <row r="57" spans="1:6" x14ac:dyDescent="0.3">
      <c r="A57" s="1" t="s">
        <v>6</v>
      </c>
      <c r="B57" s="1" t="s">
        <v>8</v>
      </c>
      <c r="C57">
        <v>2023</v>
      </c>
      <c r="D57">
        <v>8</v>
      </c>
      <c r="E57">
        <v>258384.95447061691</v>
      </c>
      <c r="F57">
        <v>5035</v>
      </c>
    </row>
    <row r="58" spans="1:6" x14ac:dyDescent="0.3">
      <c r="A58" s="1" t="s">
        <v>6</v>
      </c>
      <c r="B58" s="1" t="s">
        <v>8</v>
      </c>
      <c r="C58">
        <v>2023</v>
      </c>
      <c r="D58">
        <v>9</v>
      </c>
      <c r="E58">
        <v>191855.4930196552</v>
      </c>
      <c r="F58">
        <v>3917</v>
      </c>
    </row>
    <row r="59" spans="1:6" x14ac:dyDescent="0.3">
      <c r="A59" s="1" t="s">
        <v>6</v>
      </c>
      <c r="B59" s="1" t="s">
        <v>8</v>
      </c>
      <c r="C59">
        <v>2023</v>
      </c>
      <c r="D59">
        <v>10</v>
      </c>
      <c r="E59">
        <v>237384.96488858951</v>
      </c>
      <c r="F59">
        <v>4710</v>
      </c>
    </row>
    <row r="60" spans="1:6" x14ac:dyDescent="0.3">
      <c r="A60" s="1" t="s">
        <v>6</v>
      </c>
      <c r="B60" s="1" t="s">
        <v>8</v>
      </c>
      <c r="C60">
        <v>2023</v>
      </c>
      <c r="D60">
        <v>11</v>
      </c>
      <c r="E60">
        <v>264458.48278797342</v>
      </c>
      <c r="F60">
        <v>5267</v>
      </c>
    </row>
    <row r="61" spans="1:6" x14ac:dyDescent="0.3">
      <c r="A61" s="1" t="s">
        <v>6</v>
      </c>
      <c r="B61" s="1" t="s">
        <v>8</v>
      </c>
      <c r="C61">
        <v>2023</v>
      </c>
      <c r="D61">
        <v>12</v>
      </c>
      <c r="E61">
        <v>318608.28728763643</v>
      </c>
      <c r="F61">
        <v>6240</v>
      </c>
    </row>
    <row r="62" spans="1:6" x14ac:dyDescent="0.3">
      <c r="A62" s="1" t="s">
        <v>6</v>
      </c>
      <c r="B62" s="1" t="s">
        <v>8</v>
      </c>
      <c r="C62">
        <v>2024</v>
      </c>
      <c r="D62">
        <v>1</v>
      </c>
      <c r="E62">
        <v>239634.6369221597</v>
      </c>
      <c r="F62">
        <v>4678</v>
      </c>
    </row>
    <row r="63" spans="1:6" x14ac:dyDescent="0.3">
      <c r="A63" s="1" t="s">
        <v>6</v>
      </c>
      <c r="B63" s="1" t="s">
        <v>8</v>
      </c>
      <c r="C63">
        <v>2024</v>
      </c>
      <c r="D63">
        <v>2</v>
      </c>
      <c r="E63">
        <v>210175.8063043828</v>
      </c>
      <c r="F63">
        <v>4256</v>
      </c>
    </row>
    <row r="64" spans="1:6" x14ac:dyDescent="0.3">
      <c r="A64" s="1" t="s">
        <v>6</v>
      </c>
      <c r="B64" s="1" t="s">
        <v>8</v>
      </c>
      <c r="C64">
        <v>2024</v>
      </c>
      <c r="D64">
        <v>3</v>
      </c>
      <c r="E64">
        <v>219894.68454687617</v>
      </c>
      <c r="F64">
        <v>4444</v>
      </c>
    </row>
    <row r="65" spans="1:6" x14ac:dyDescent="0.3">
      <c r="A65" s="1" t="s">
        <v>6</v>
      </c>
      <c r="B65" s="1" t="s">
        <v>8</v>
      </c>
      <c r="C65">
        <v>2024</v>
      </c>
      <c r="D65">
        <v>4</v>
      </c>
      <c r="E65">
        <v>240961.28246018779</v>
      </c>
      <c r="F65">
        <v>4761</v>
      </c>
    </row>
    <row r="66" spans="1:6" x14ac:dyDescent="0.3">
      <c r="A66" s="1" t="s">
        <v>6</v>
      </c>
      <c r="B66" s="1" t="s">
        <v>8</v>
      </c>
      <c r="C66">
        <v>2024</v>
      </c>
      <c r="D66">
        <v>5</v>
      </c>
      <c r="E66">
        <v>275677.78378436371</v>
      </c>
      <c r="F66">
        <v>5514</v>
      </c>
    </row>
    <row r="67" spans="1:6" x14ac:dyDescent="0.3">
      <c r="A67" s="1" t="s">
        <v>6</v>
      </c>
      <c r="B67" s="1" t="s">
        <v>8</v>
      </c>
      <c r="C67">
        <v>2024</v>
      </c>
      <c r="D67">
        <v>6</v>
      </c>
      <c r="E67">
        <v>284278.89936981251</v>
      </c>
      <c r="F67">
        <v>5796</v>
      </c>
    </row>
    <row r="68" spans="1:6" x14ac:dyDescent="0.3">
      <c r="A68" s="1" t="s">
        <v>6</v>
      </c>
      <c r="B68" s="1" t="s">
        <v>8</v>
      </c>
      <c r="C68">
        <v>2024</v>
      </c>
      <c r="D68">
        <v>7</v>
      </c>
      <c r="E68">
        <v>241694.48071703661</v>
      </c>
      <c r="F68">
        <v>4836</v>
      </c>
    </row>
    <row r="69" spans="1:6" x14ac:dyDescent="0.3">
      <c r="A69" s="1" t="s">
        <v>6</v>
      </c>
      <c r="B69" s="1" t="s">
        <v>8</v>
      </c>
      <c r="C69">
        <v>2024</v>
      </c>
      <c r="D69">
        <v>8</v>
      </c>
      <c r="E69">
        <v>212411.86488813249</v>
      </c>
      <c r="F69">
        <v>4172</v>
      </c>
    </row>
    <row r="70" spans="1:6" x14ac:dyDescent="0.3">
      <c r="A70" s="1" t="s">
        <v>6</v>
      </c>
      <c r="B70" s="1" t="s">
        <v>8</v>
      </c>
      <c r="C70">
        <v>2024</v>
      </c>
      <c r="D70">
        <v>9</v>
      </c>
      <c r="E70">
        <v>276556.72719041799</v>
      </c>
      <c r="F70">
        <v>5541</v>
      </c>
    </row>
    <row r="71" spans="1:6" x14ac:dyDescent="0.3">
      <c r="A71" s="1" t="s">
        <v>6</v>
      </c>
      <c r="B71" s="1" t="s">
        <v>8</v>
      </c>
      <c r="C71">
        <v>2024</v>
      </c>
      <c r="D71">
        <v>10</v>
      </c>
      <c r="E71">
        <v>313338.43386062729</v>
      </c>
      <c r="F71">
        <v>6334</v>
      </c>
    </row>
    <row r="72" spans="1:6" x14ac:dyDescent="0.3">
      <c r="A72" s="1" t="s">
        <v>6</v>
      </c>
      <c r="B72" s="1" t="s">
        <v>8</v>
      </c>
      <c r="C72">
        <v>2024</v>
      </c>
      <c r="D72">
        <v>11</v>
      </c>
      <c r="E72">
        <v>257110.16838819999</v>
      </c>
      <c r="F72">
        <v>5262</v>
      </c>
    </row>
    <row r="73" spans="1:6" x14ac:dyDescent="0.3">
      <c r="A73" s="1" t="s">
        <v>6</v>
      </c>
      <c r="B73" s="1" t="s">
        <v>8</v>
      </c>
      <c r="C73">
        <v>2024</v>
      </c>
      <c r="D73">
        <v>12</v>
      </c>
      <c r="E73">
        <v>257201.6317404524</v>
      </c>
      <c r="F73">
        <v>5226</v>
      </c>
    </row>
    <row r="74" spans="1:6" x14ac:dyDescent="0.3">
      <c r="A74" s="1" t="s">
        <v>6</v>
      </c>
      <c r="B74" s="1" t="s">
        <v>9</v>
      </c>
      <c r="C74">
        <v>2022</v>
      </c>
      <c r="D74">
        <v>1</v>
      </c>
      <c r="E74">
        <v>113088.3739869343</v>
      </c>
      <c r="F74">
        <v>2265</v>
      </c>
    </row>
    <row r="75" spans="1:6" x14ac:dyDescent="0.3">
      <c r="A75" s="1" t="s">
        <v>6</v>
      </c>
      <c r="B75" s="1" t="s">
        <v>9</v>
      </c>
      <c r="C75">
        <v>2022</v>
      </c>
      <c r="D75">
        <v>2</v>
      </c>
      <c r="E75">
        <v>104200.7805313962</v>
      </c>
      <c r="F75">
        <v>2057</v>
      </c>
    </row>
    <row r="76" spans="1:6" x14ac:dyDescent="0.3">
      <c r="A76" s="1" t="s">
        <v>6</v>
      </c>
      <c r="B76" s="1" t="s">
        <v>9</v>
      </c>
      <c r="C76">
        <v>2022</v>
      </c>
      <c r="D76">
        <v>3</v>
      </c>
      <c r="E76">
        <v>123952.19423101049</v>
      </c>
      <c r="F76">
        <v>2464</v>
      </c>
    </row>
    <row r="77" spans="1:6" x14ac:dyDescent="0.3">
      <c r="A77" s="1" t="s">
        <v>6</v>
      </c>
      <c r="B77" s="1" t="s">
        <v>9</v>
      </c>
      <c r="C77">
        <v>2022</v>
      </c>
      <c r="D77">
        <v>4</v>
      </c>
      <c r="E77">
        <v>163385.0569726667</v>
      </c>
      <c r="F77">
        <v>3280</v>
      </c>
    </row>
    <row r="78" spans="1:6" x14ac:dyDescent="0.3">
      <c r="A78" s="1" t="s">
        <v>6</v>
      </c>
      <c r="B78" s="1" t="s">
        <v>9</v>
      </c>
      <c r="C78">
        <v>2022</v>
      </c>
      <c r="D78">
        <v>5</v>
      </c>
      <c r="E78">
        <v>177122.39756043188</v>
      </c>
      <c r="F78">
        <v>3489</v>
      </c>
    </row>
    <row r="79" spans="1:6" x14ac:dyDescent="0.3">
      <c r="A79" s="1" t="s">
        <v>6</v>
      </c>
      <c r="B79" s="1" t="s">
        <v>9</v>
      </c>
      <c r="C79">
        <v>2022</v>
      </c>
      <c r="D79">
        <v>6</v>
      </c>
      <c r="E79">
        <v>138744.3291713483</v>
      </c>
      <c r="F79">
        <v>2722</v>
      </c>
    </row>
    <row r="80" spans="1:6" x14ac:dyDescent="0.3">
      <c r="A80" s="1" t="s">
        <v>6</v>
      </c>
      <c r="B80" s="1" t="s">
        <v>9</v>
      </c>
      <c r="C80">
        <v>2022</v>
      </c>
      <c r="D80">
        <v>7</v>
      </c>
      <c r="E80">
        <v>133718.7119086762</v>
      </c>
      <c r="F80">
        <v>2663</v>
      </c>
    </row>
    <row r="81" spans="1:6" x14ac:dyDescent="0.3">
      <c r="A81" s="1" t="s">
        <v>6</v>
      </c>
      <c r="B81" s="1" t="s">
        <v>9</v>
      </c>
      <c r="C81">
        <v>2022</v>
      </c>
      <c r="D81">
        <v>8</v>
      </c>
      <c r="E81">
        <v>150388.91376649259</v>
      </c>
      <c r="F81">
        <v>2978</v>
      </c>
    </row>
    <row r="82" spans="1:6" x14ac:dyDescent="0.3">
      <c r="A82" s="1" t="s">
        <v>6</v>
      </c>
      <c r="B82" s="1" t="s">
        <v>9</v>
      </c>
      <c r="C82">
        <v>2022</v>
      </c>
      <c r="D82">
        <v>9</v>
      </c>
      <c r="E82">
        <v>136494.30447047472</v>
      </c>
      <c r="F82">
        <v>2752</v>
      </c>
    </row>
    <row r="83" spans="1:6" x14ac:dyDescent="0.3">
      <c r="A83" s="1" t="s">
        <v>6</v>
      </c>
      <c r="B83" s="1" t="s">
        <v>9</v>
      </c>
      <c r="C83">
        <v>2022</v>
      </c>
      <c r="D83">
        <v>10</v>
      </c>
      <c r="E83">
        <v>157094.5773390086</v>
      </c>
      <c r="F83">
        <v>3161</v>
      </c>
    </row>
    <row r="84" spans="1:6" x14ac:dyDescent="0.3">
      <c r="A84" s="1" t="s">
        <v>6</v>
      </c>
      <c r="B84" s="1" t="s">
        <v>9</v>
      </c>
      <c r="C84">
        <v>2022</v>
      </c>
      <c r="D84">
        <v>11</v>
      </c>
      <c r="E84">
        <v>148093.74219006859</v>
      </c>
      <c r="F84">
        <v>3012</v>
      </c>
    </row>
    <row r="85" spans="1:6" x14ac:dyDescent="0.3">
      <c r="A85" s="1" t="s">
        <v>6</v>
      </c>
      <c r="B85" s="1" t="s">
        <v>9</v>
      </c>
      <c r="C85">
        <v>2022</v>
      </c>
      <c r="D85">
        <v>12</v>
      </c>
      <c r="E85">
        <v>155655.24662552401</v>
      </c>
      <c r="F85">
        <v>3117</v>
      </c>
    </row>
    <row r="86" spans="1:6" x14ac:dyDescent="0.3">
      <c r="A86" s="1" t="s">
        <v>6</v>
      </c>
      <c r="B86" s="1" t="s">
        <v>9</v>
      </c>
      <c r="C86">
        <v>2023</v>
      </c>
      <c r="D86">
        <v>1</v>
      </c>
      <c r="E86">
        <v>114479.4097853987</v>
      </c>
      <c r="F86">
        <v>2324</v>
      </c>
    </row>
    <row r="87" spans="1:6" x14ac:dyDescent="0.3">
      <c r="A87" s="1" t="s">
        <v>6</v>
      </c>
      <c r="B87" s="1" t="s">
        <v>9</v>
      </c>
      <c r="C87">
        <v>2023</v>
      </c>
      <c r="D87">
        <v>2</v>
      </c>
      <c r="E87">
        <v>143740.7243963017</v>
      </c>
      <c r="F87">
        <v>2922</v>
      </c>
    </row>
    <row r="88" spans="1:6" x14ac:dyDescent="0.3">
      <c r="A88" s="1" t="s">
        <v>6</v>
      </c>
      <c r="B88" s="1" t="s">
        <v>9</v>
      </c>
      <c r="C88">
        <v>2023</v>
      </c>
      <c r="D88">
        <v>3</v>
      </c>
      <c r="E88">
        <v>171838.61954700091</v>
      </c>
      <c r="F88">
        <v>3401</v>
      </c>
    </row>
    <row r="89" spans="1:6" x14ac:dyDescent="0.3">
      <c r="A89" s="1" t="s">
        <v>6</v>
      </c>
      <c r="B89" s="1" t="s">
        <v>9</v>
      </c>
      <c r="C89">
        <v>2023</v>
      </c>
      <c r="D89">
        <v>4</v>
      </c>
      <c r="E89">
        <v>151862.82482870511</v>
      </c>
      <c r="F89">
        <v>2999</v>
      </c>
    </row>
    <row r="90" spans="1:6" x14ac:dyDescent="0.3">
      <c r="A90" s="1" t="s">
        <v>6</v>
      </c>
      <c r="B90" s="1" t="s">
        <v>9</v>
      </c>
      <c r="C90">
        <v>2023</v>
      </c>
      <c r="D90">
        <v>5</v>
      </c>
      <c r="E90">
        <v>189061.60290338099</v>
      </c>
      <c r="F90">
        <v>3840</v>
      </c>
    </row>
    <row r="91" spans="1:6" x14ac:dyDescent="0.3">
      <c r="A91" s="1" t="s">
        <v>6</v>
      </c>
      <c r="B91" s="1" t="s">
        <v>9</v>
      </c>
      <c r="C91">
        <v>2023</v>
      </c>
      <c r="D91">
        <v>6</v>
      </c>
      <c r="E91">
        <v>135636.88448121189</v>
      </c>
      <c r="F91">
        <v>2669</v>
      </c>
    </row>
    <row r="92" spans="1:6" x14ac:dyDescent="0.3">
      <c r="A92" s="1" t="s">
        <v>6</v>
      </c>
      <c r="B92" s="1" t="s">
        <v>9</v>
      </c>
      <c r="C92">
        <v>2023</v>
      </c>
      <c r="D92">
        <v>7</v>
      </c>
      <c r="E92">
        <v>117506.5985005511</v>
      </c>
      <c r="F92">
        <v>2363</v>
      </c>
    </row>
    <row r="93" spans="1:6" x14ac:dyDescent="0.3">
      <c r="A93" s="1" t="s">
        <v>6</v>
      </c>
      <c r="B93" s="1" t="s">
        <v>9</v>
      </c>
      <c r="C93">
        <v>2023</v>
      </c>
      <c r="D93">
        <v>8</v>
      </c>
      <c r="E93">
        <v>211194.69103565882</v>
      </c>
      <c r="F93">
        <v>4204</v>
      </c>
    </row>
    <row r="94" spans="1:6" x14ac:dyDescent="0.3">
      <c r="A94" s="1" t="s">
        <v>6</v>
      </c>
      <c r="B94" s="1" t="s">
        <v>9</v>
      </c>
      <c r="C94">
        <v>2023</v>
      </c>
      <c r="D94">
        <v>9</v>
      </c>
      <c r="E94">
        <v>135125.87275068861</v>
      </c>
      <c r="F94">
        <v>2633</v>
      </c>
    </row>
    <row r="95" spans="1:6" x14ac:dyDescent="0.3">
      <c r="A95" s="1" t="s">
        <v>6</v>
      </c>
      <c r="B95" s="1" t="s">
        <v>9</v>
      </c>
      <c r="C95">
        <v>2023</v>
      </c>
      <c r="D95">
        <v>10</v>
      </c>
      <c r="E95">
        <v>149028.39434935359</v>
      </c>
      <c r="F95">
        <v>2901</v>
      </c>
    </row>
    <row r="96" spans="1:6" x14ac:dyDescent="0.3">
      <c r="A96" s="1" t="s">
        <v>6</v>
      </c>
      <c r="B96" s="1" t="s">
        <v>9</v>
      </c>
      <c r="C96">
        <v>2023</v>
      </c>
      <c r="D96">
        <v>11</v>
      </c>
      <c r="E96">
        <v>214994.21017072629</v>
      </c>
      <c r="F96">
        <v>4345</v>
      </c>
    </row>
    <row r="97" spans="1:6" x14ac:dyDescent="0.3">
      <c r="A97" s="1" t="s">
        <v>6</v>
      </c>
      <c r="B97" s="1" t="s">
        <v>9</v>
      </c>
      <c r="C97">
        <v>2023</v>
      </c>
      <c r="D97">
        <v>12</v>
      </c>
      <c r="E97">
        <v>157566.6183153842</v>
      </c>
      <c r="F97">
        <v>3216</v>
      </c>
    </row>
    <row r="98" spans="1:6" x14ac:dyDescent="0.3">
      <c r="A98" s="1" t="s">
        <v>6</v>
      </c>
      <c r="B98" s="1" t="s">
        <v>9</v>
      </c>
      <c r="C98">
        <v>2024</v>
      </c>
      <c r="D98">
        <v>1</v>
      </c>
      <c r="E98">
        <v>139999.46564324439</v>
      </c>
      <c r="F98">
        <v>2798</v>
      </c>
    </row>
    <row r="99" spans="1:6" x14ac:dyDescent="0.3">
      <c r="A99" s="1" t="s">
        <v>6</v>
      </c>
      <c r="B99" s="1" t="s">
        <v>9</v>
      </c>
      <c r="C99">
        <v>2024</v>
      </c>
      <c r="D99">
        <v>2</v>
      </c>
      <c r="E99">
        <v>107126.6179480904</v>
      </c>
      <c r="F99">
        <v>2121</v>
      </c>
    </row>
    <row r="100" spans="1:6" x14ac:dyDescent="0.3">
      <c r="A100" s="1" t="s">
        <v>6</v>
      </c>
      <c r="B100" s="1" t="s">
        <v>9</v>
      </c>
      <c r="C100">
        <v>2024</v>
      </c>
      <c r="D100">
        <v>3</v>
      </c>
      <c r="E100">
        <v>210589.18488052441</v>
      </c>
      <c r="F100">
        <v>4176</v>
      </c>
    </row>
    <row r="101" spans="1:6" x14ac:dyDescent="0.3">
      <c r="A101" s="1" t="s">
        <v>6</v>
      </c>
      <c r="B101" s="1" t="s">
        <v>9</v>
      </c>
      <c r="C101">
        <v>2024</v>
      </c>
      <c r="D101">
        <v>4</v>
      </c>
      <c r="E101">
        <v>251082.82709545339</v>
      </c>
      <c r="F101">
        <v>4976</v>
      </c>
    </row>
    <row r="102" spans="1:6" x14ac:dyDescent="0.3">
      <c r="A102" s="1" t="s">
        <v>6</v>
      </c>
      <c r="B102" s="1" t="s">
        <v>9</v>
      </c>
      <c r="C102">
        <v>2024</v>
      </c>
      <c r="D102">
        <v>5</v>
      </c>
      <c r="E102">
        <v>201137.31093835778</v>
      </c>
      <c r="F102">
        <v>3992</v>
      </c>
    </row>
    <row r="103" spans="1:6" x14ac:dyDescent="0.3">
      <c r="A103" s="1" t="s">
        <v>6</v>
      </c>
      <c r="B103" s="1" t="s">
        <v>9</v>
      </c>
      <c r="C103">
        <v>2024</v>
      </c>
      <c r="D103">
        <v>6</v>
      </c>
      <c r="E103">
        <v>219971.83577556862</v>
      </c>
      <c r="F103">
        <v>4404</v>
      </c>
    </row>
    <row r="104" spans="1:6" x14ac:dyDescent="0.3">
      <c r="A104" s="1" t="s">
        <v>6</v>
      </c>
      <c r="B104" s="1" t="s">
        <v>9</v>
      </c>
      <c r="C104">
        <v>2024</v>
      </c>
      <c r="D104">
        <v>7</v>
      </c>
      <c r="E104">
        <v>169948.44780717741</v>
      </c>
      <c r="F104">
        <v>3457</v>
      </c>
    </row>
    <row r="105" spans="1:6" x14ac:dyDescent="0.3">
      <c r="A105" s="1" t="s">
        <v>6</v>
      </c>
      <c r="B105" s="1" t="s">
        <v>9</v>
      </c>
      <c r="C105">
        <v>2024</v>
      </c>
      <c r="D105">
        <v>8</v>
      </c>
      <c r="E105">
        <v>121224.04220336929</v>
      </c>
      <c r="F105">
        <v>2417</v>
      </c>
    </row>
    <row r="106" spans="1:6" x14ac:dyDescent="0.3">
      <c r="A106" s="1" t="s">
        <v>6</v>
      </c>
      <c r="B106" s="1" t="s">
        <v>9</v>
      </c>
      <c r="C106">
        <v>2024</v>
      </c>
      <c r="D106">
        <v>9</v>
      </c>
      <c r="E106">
        <v>144888.81494843401</v>
      </c>
      <c r="F106">
        <v>2867</v>
      </c>
    </row>
    <row r="107" spans="1:6" x14ac:dyDescent="0.3">
      <c r="A107" s="1" t="s">
        <v>6</v>
      </c>
      <c r="B107" s="1" t="s">
        <v>9</v>
      </c>
      <c r="C107">
        <v>2024</v>
      </c>
      <c r="D107">
        <v>10</v>
      </c>
      <c r="E107">
        <v>138799.7855048324</v>
      </c>
      <c r="F107">
        <v>2815</v>
      </c>
    </row>
    <row r="108" spans="1:6" x14ac:dyDescent="0.3">
      <c r="A108" s="1" t="s">
        <v>6</v>
      </c>
      <c r="B108" s="1" t="s">
        <v>9</v>
      </c>
      <c r="C108">
        <v>2024</v>
      </c>
      <c r="D108">
        <v>11</v>
      </c>
      <c r="E108">
        <v>152701.2085880315</v>
      </c>
      <c r="F108">
        <v>3019</v>
      </c>
    </row>
    <row r="109" spans="1:6" x14ac:dyDescent="0.3">
      <c r="A109" s="1" t="s">
        <v>6</v>
      </c>
      <c r="B109" s="1" t="s">
        <v>9</v>
      </c>
      <c r="C109">
        <v>2024</v>
      </c>
      <c r="D109">
        <v>12</v>
      </c>
      <c r="E109">
        <v>166268.49840417161</v>
      </c>
      <c r="F109">
        <v>3259</v>
      </c>
    </row>
    <row r="110" spans="1:6" x14ac:dyDescent="0.3">
      <c r="A110" s="1" t="s">
        <v>6</v>
      </c>
      <c r="B110" s="1" t="s">
        <v>10</v>
      </c>
      <c r="C110">
        <v>2022</v>
      </c>
      <c r="D110">
        <v>1</v>
      </c>
      <c r="E110">
        <v>172402.17362996069</v>
      </c>
      <c r="F110">
        <v>3341</v>
      </c>
    </row>
    <row r="111" spans="1:6" x14ac:dyDescent="0.3">
      <c r="A111" s="1" t="s">
        <v>6</v>
      </c>
      <c r="B111" s="1" t="s">
        <v>10</v>
      </c>
      <c r="C111">
        <v>2022</v>
      </c>
      <c r="D111">
        <v>2</v>
      </c>
      <c r="E111">
        <v>154188.04780679289</v>
      </c>
      <c r="F111">
        <v>3129</v>
      </c>
    </row>
    <row r="112" spans="1:6" x14ac:dyDescent="0.3">
      <c r="A112" s="1" t="s">
        <v>6</v>
      </c>
      <c r="B112" s="1" t="s">
        <v>10</v>
      </c>
      <c r="C112">
        <v>2022</v>
      </c>
      <c r="D112">
        <v>3</v>
      </c>
      <c r="E112">
        <v>207994.86506657911</v>
      </c>
      <c r="F112">
        <v>4015</v>
      </c>
    </row>
    <row r="113" spans="1:6" x14ac:dyDescent="0.3">
      <c r="A113" s="1" t="s">
        <v>6</v>
      </c>
      <c r="B113" s="1" t="s">
        <v>10</v>
      </c>
      <c r="C113">
        <v>2022</v>
      </c>
      <c r="D113">
        <v>4</v>
      </c>
      <c r="E113">
        <v>224335.9929775756</v>
      </c>
      <c r="F113">
        <v>4421</v>
      </c>
    </row>
    <row r="114" spans="1:6" x14ac:dyDescent="0.3">
      <c r="A114" s="1" t="s">
        <v>6</v>
      </c>
      <c r="B114" s="1" t="s">
        <v>10</v>
      </c>
      <c r="C114">
        <v>2022</v>
      </c>
      <c r="D114">
        <v>5</v>
      </c>
      <c r="E114">
        <v>235242.6845266493</v>
      </c>
      <c r="F114">
        <v>4786</v>
      </c>
    </row>
    <row r="115" spans="1:6" x14ac:dyDescent="0.3">
      <c r="A115" s="1" t="s">
        <v>6</v>
      </c>
      <c r="B115" s="1" t="s">
        <v>10</v>
      </c>
      <c r="C115">
        <v>2022</v>
      </c>
      <c r="D115">
        <v>6</v>
      </c>
      <c r="E115">
        <v>237598.20856535458</v>
      </c>
      <c r="F115">
        <v>4725</v>
      </c>
    </row>
    <row r="116" spans="1:6" x14ac:dyDescent="0.3">
      <c r="A116" s="1" t="s">
        <v>6</v>
      </c>
      <c r="B116" s="1" t="s">
        <v>10</v>
      </c>
      <c r="C116">
        <v>2022</v>
      </c>
      <c r="D116">
        <v>7</v>
      </c>
      <c r="E116">
        <v>117548.31309602829</v>
      </c>
      <c r="F116">
        <v>2300</v>
      </c>
    </row>
    <row r="117" spans="1:6" x14ac:dyDescent="0.3">
      <c r="A117" s="1" t="s">
        <v>6</v>
      </c>
      <c r="B117" s="1" t="s">
        <v>10</v>
      </c>
      <c r="C117">
        <v>2022</v>
      </c>
      <c r="D117">
        <v>8</v>
      </c>
      <c r="E117">
        <v>196573.97568442041</v>
      </c>
      <c r="F117">
        <v>3907</v>
      </c>
    </row>
    <row r="118" spans="1:6" x14ac:dyDescent="0.3">
      <c r="A118" s="1" t="s">
        <v>6</v>
      </c>
      <c r="B118" s="1" t="s">
        <v>10</v>
      </c>
      <c r="C118">
        <v>2022</v>
      </c>
      <c r="D118">
        <v>9</v>
      </c>
      <c r="E118">
        <v>147507.83321965841</v>
      </c>
      <c r="F118">
        <v>3033</v>
      </c>
    </row>
    <row r="119" spans="1:6" x14ac:dyDescent="0.3">
      <c r="A119" s="1" t="s">
        <v>6</v>
      </c>
      <c r="B119" s="1" t="s">
        <v>10</v>
      </c>
      <c r="C119">
        <v>2022</v>
      </c>
      <c r="D119">
        <v>10</v>
      </c>
      <c r="E119">
        <v>163611.5246836539</v>
      </c>
      <c r="F119">
        <v>3273</v>
      </c>
    </row>
    <row r="120" spans="1:6" x14ac:dyDescent="0.3">
      <c r="A120" s="1" t="s">
        <v>6</v>
      </c>
      <c r="B120" s="1" t="s">
        <v>10</v>
      </c>
      <c r="C120">
        <v>2022</v>
      </c>
      <c r="D120">
        <v>11</v>
      </c>
      <c r="E120">
        <v>212216.90927515272</v>
      </c>
      <c r="F120">
        <v>4173</v>
      </c>
    </row>
    <row r="121" spans="1:6" x14ac:dyDescent="0.3">
      <c r="A121" s="1" t="s">
        <v>6</v>
      </c>
      <c r="B121" s="1" t="s">
        <v>10</v>
      </c>
      <c r="C121">
        <v>2022</v>
      </c>
      <c r="D121">
        <v>12</v>
      </c>
      <c r="E121">
        <v>212706.24552246771</v>
      </c>
      <c r="F121">
        <v>4338</v>
      </c>
    </row>
    <row r="122" spans="1:6" x14ac:dyDescent="0.3">
      <c r="A122" s="1" t="s">
        <v>6</v>
      </c>
      <c r="B122" s="1" t="s">
        <v>10</v>
      </c>
      <c r="C122">
        <v>2023</v>
      </c>
      <c r="D122">
        <v>1</v>
      </c>
      <c r="E122">
        <v>160493.98815110451</v>
      </c>
      <c r="F122">
        <v>3154</v>
      </c>
    </row>
    <row r="123" spans="1:6" x14ac:dyDescent="0.3">
      <c r="A123" s="1" t="s">
        <v>6</v>
      </c>
      <c r="B123" s="1" t="s">
        <v>10</v>
      </c>
      <c r="C123">
        <v>2023</v>
      </c>
      <c r="D123">
        <v>2</v>
      </c>
      <c r="E123">
        <v>223980.67055684319</v>
      </c>
      <c r="F123">
        <v>4422</v>
      </c>
    </row>
    <row r="124" spans="1:6" x14ac:dyDescent="0.3">
      <c r="A124" s="1" t="s">
        <v>6</v>
      </c>
      <c r="B124" s="1" t="s">
        <v>10</v>
      </c>
      <c r="C124">
        <v>2023</v>
      </c>
      <c r="D124">
        <v>3</v>
      </c>
      <c r="E124">
        <v>166161.2738581305</v>
      </c>
      <c r="F124">
        <v>3368</v>
      </c>
    </row>
    <row r="125" spans="1:6" x14ac:dyDescent="0.3">
      <c r="A125" s="1" t="s">
        <v>6</v>
      </c>
      <c r="B125" s="1" t="s">
        <v>10</v>
      </c>
      <c r="C125">
        <v>2023</v>
      </c>
      <c r="D125">
        <v>4</v>
      </c>
      <c r="E125">
        <v>243908.75044568442</v>
      </c>
      <c r="F125">
        <v>5001</v>
      </c>
    </row>
    <row r="126" spans="1:6" x14ac:dyDescent="0.3">
      <c r="A126" s="1" t="s">
        <v>6</v>
      </c>
      <c r="B126" s="1" t="s">
        <v>10</v>
      </c>
      <c r="C126">
        <v>2023</v>
      </c>
      <c r="D126">
        <v>5</v>
      </c>
      <c r="E126">
        <v>151769.8074475571</v>
      </c>
      <c r="F126">
        <v>3045</v>
      </c>
    </row>
    <row r="127" spans="1:6" x14ac:dyDescent="0.3">
      <c r="A127" s="1" t="s">
        <v>6</v>
      </c>
      <c r="B127" s="1" t="s">
        <v>10</v>
      </c>
      <c r="C127">
        <v>2023</v>
      </c>
      <c r="D127">
        <v>6</v>
      </c>
      <c r="E127">
        <v>200303.43274733311</v>
      </c>
      <c r="F127">
        <v>3975</v>
      </c>
    </row>
    <row r="128" spans="1:6" x14ac:dyDescent="0.3">
      <c r="A128" s="1" t="s">
        <v>6</v>
      </c>
      <c r="B128" s="1" t="s">
        <v>10</v>
      </c>
      <c r="C128">
        <v>2023</v>
      </c>
      <c r="D128">
        <v>7</v>
      </c>
      <c r="E128">
        <v>213720.29699813109</v>
      </c>
      <c r="F128">
        <v>4329</v>
      </c>
    </row>
    <row r="129" spans="1:6" x14ac:dyDescent="0.3">
      <c r="A129" s="1" t="s">
        <v>6</v>
      </c>
      <c r="B129" s="1" t="s">
        <v>10</v>
      </c>
      <c r="C129">
        <v>2023</v>
      </c>
      <c r="D129">
        <v>8</v>
      </c>
      <c r="E129">
        <v>208503.82609474941</v>
      </c>
      <c r="F129">
        <v>4066</v>
      </c>
    </row>
    <row r="130" spans="1:6" x14ac:dyDescent="0.3">
      <c r="A130" s="1" t="s">
        <v>6</v>
      </c>
      <c r="B130" s="1" t="s">
        <v>10</v>
      </c>
      <c r="C130">
        <v>2023</v>
      </c>
      <c r="D130">
        <v>9</v>
      </c>
      <c r="E130">
        <v>165669.63281666391</v>
      </c>
      <c r="F130">
        <v>3266</v>
      </c>
    </row>
    <row r="131" spans="1:6" x14ac:dyDescent="0.3">
      <c r="A131" s="1" t="s">
        <v>6</v>
      </c>
      <c r="B131" s="1" t="s">
        <v>10</v>
      </c>
      <c r="C131">
        <v>2023</v>
      </c>
      <c r="D131">
        <v>10</v>
      </c>
      <c r="E131">
        <v>217108.71965090861</v>
      </c>
      <c r="F131">
        <v>4281</v>
      </c>
    </row>
    <row r="132" spans="1:6" x14ac:dyDescent="0.3">
      <c r="A132" s="1" t="s">
        <v>6</v>
      </c>
      <c r="B132" s="1" t="s">
        <v>10</v>
      </c>
      <c r="C132">
        <v>2023</v>
      </c>
      <c r="D132">
        <v>11</v>
      </c>
      <c r="E132">
        <v>268619.78334343276</v>
      </c>
      <c r="F132">
        <v>5408</v>
      </c>
    </row>
    <row r="133" spans="1:6" x14ac:dyDescent="0.3">
      <c r="A133" s="1" t="s">
        <v>6</v>
      </c>
      <c r="B133" s="1" t="s">
        <v>10</v>
      </c>
      <c r="C133">
        <v>2023</v>
      </c>
      <c r="D133">
        <v>12</v>
      </c>
      <c r="E133">
        <v>191437.6710307998</v>
      </c>
      <c r="F133">
        <v>3866</v>
      </c>
    </row>
    <row r="134" spans="1:6" x14ac:dyDescent="0.3">
      <c r="A134" s="1" t="s">
        <v>6</v>
      </c>
      <c r="B134" s="1" t="s">
        <v>10</v>
      </c>
      <c r="C134">
        <v>2024</v>
      </c>
      <c r="D134">
        <v>1</v>
      </c>
      <c r="E134">
        <v>223687.01733857131</v>
      </c>
      <c r="F134">
        <v>4550</v>
      </c>
    </row>
    <row r="135" spans="1:6" x14ac:dyDescent="0.3">
      <c r="A135" s="1" t="s">
        <v>6</v>
      </c>
      <c r="B135" s="1" t="s">
        <v>10</v>
      </c>
      <c r="C135">
        <v>2024</v>
      </c>
      <c r="D135">
        <v>2</v>
      </c>
      <c r="E135">
        <v>189152.24543673219</v>
      </c>
      <c r="F135">
        <v>3757</v>
      </c>
    </row>
    <row r="136" spans="1:6" x14ac:dyDescent="0.3">
      <c r="A136" s="1" t="s">
        <v>6</v>
      </c>
      <c r="B136" s="1" t="s">
        <v>10</v>
      </c>
      <c r="C136">
        <v>2024</v>
      </c>
      <c r="D136">
        <v>3</v>
      </c>
      <c r="E136">
        <v>214737.03002142839</v>
      </c>
      <c r="F136">
        <v>4429</v>
      </c>
    </row>
    <row r="137" spans="1:6" x14ac:dyDescent="0.3">
      <c r="A137" s="1" t="s">
        <v>6</v>
      </c>
      <c r="B137" s="1" t="s">
        <v>10</v>
      </c>
      <c r="C137">
        <v>2024</v>
      </c>
      <c r="D137">
        <v>4</v>
      </c>
      <c r="E137">
        <v>210115.06253880481</v>
      </c>
      <c r="F137">
        <v>4247</v>
      </c>
    </row>
    <row r="138" spans="1:6" x14ac:dyDescent="0.3">
      <c r="A138" s="1" t="s">
        <v>6</v>
      </c>
      <c r="B138" s="1" t="s">
        <v>10</v>
      </c>
      <c r="C138">
        <v>2024</v>
      </c>
      <c r="D138">
        <v>5</v>
      </c>
      <c r="E138">
        <v>240596.98746813112</v>
      </c>
      <c r="F138">
        <v>4802</v>
      </c>
    </row>
    <row r="139" spans="1:6" x14ac:dyDescent="0.3">
      <c r="A139" s="1" t="s">
        <v>6</v>
      </c>
      <c r="B139" s="1" t="s">
        <v>10</v>
      </c>
      <c r="C139">
        <v>2024</v>
      </c>
      <c r="D139">
        <v>6</v>
      </c>
      <c r="E139">
        <v>193562.59041777591</v>
      </c>
      <c r="F139">
        <v>3961</v>
      </c>
    </row>
    <row r="140" spans="1:6" x14ac:dyDescent="0.3">
      <c r="A140" s="1" t="s">
        <v>6</v>
      </c>
      <c r="B140" s="1" t="s">
        <v>10</v>
      </c>
      <c r="C140">
        <v>2024</v>
      </c>
      <c r="D140">
        <v>7</v>
      </c>
      <c r="E140">
        <v>185806.04406573231</v>
      </c>
      <c r="F140">
        <v>3639</v>
      </c>
    </row>
    <row r="141" spans="1:6" x14ac:dyDescent="0.3">
      <c r="A141" s="1" t="s">
        <v>6</v>
      </c>
      <c r="B141" s="1" t="s">
        <v>10</v>
      </c>
      <c r="C141">
        <v>2024</v>
      </c>
      <c r="D141">
        <v>8</v>
      </c>
      <c r="E141">
        <v>179785.06928093379</v>
      </c>
      <c r="F141">
        <v>3593</v>
      </c>
    </row>
    <row r="142" spans="1:6" x14ac:dyDescent="0.3">
      <c r="A142" s="1" t="s">
        <v>6</v>
      </c>
      <c r="B142" s="1" t="s">
        <v>10</v>
      </c>
      <c r="C142">
        <v>2024</v>
      </c>
      <c r="D142">
        <v>9</v>
      </c>
      <c r="E142">
        <v>158024.1534838301</v>
      </c>
      <c r="F142">
        <v>3175</v>
      </c>
    </row>
    <row r="143" spans="1:6" x14ac:dyDescent="0.3">
      <c r="A143" s="1" t="s">
        <v>6</v>
      </c>
      <c r="B143" s="1" t="s">
        <v>10</v>
      </c>
      <c r="C143">
        <v>2024</v>
      </c>
      <c r="D143">
        <v>10</v>
      </c>
      <c r="E143">
        <v>260364.67609200461</v>
      </c>
      <c r="F143">
        <v>5114</v>
      </c>
    </row>
    <row r="144" spans="1:6" x14ac:dyDescent="0.3">
      <c r="A144" s="1" t="s">
        <v>6</v>
      </c>
      <c r="B144" s="1" t="s">
        <v>10</v>
      </c>
      <c r="C144">
        <v>2024</v>
      </c>
      <c r="D144">
        <v>11</v>
      </c>
      <c r="E144">
        <v>239950.51045860411</v>
      </c>
      <c r="F144">
        <v>4810</v>
      </c>
    </row>
    <row r="145" spans="1:6" x14ac:dyDescent="0.3">
      <c r="A145" s="1" t="s">
        <v>6</v>
      </c>
      <c r="B145" s="1" t="s">
        <v>10</v>
      </c>
      <c r="C145">
        <v>2024</v>
      </c>
      <c r="D145">
        <v>12</v>
      </c>
      <c r="E145">
        <v>229429.71379106751</v>
      </c>
      <c r="F145">
        <v>4758</v>
      </c>
    </row>
    <row r="146" spans="1:6" x14ac:dyDescent="0.3">
      <c r="A146" s="1" t="s">
        <v>11</v>
      </c>
      <c r="B146" s="1" t="s">
        <v>7</v>
      </c>
      <c r="C146">
        <v>2022</v>
      </c>
      <c r="D146">
        <v>1</v>
      </c>
      <c r="E146">
        <v>116720.2178664869</v>
      </c>
      <c r="F146">
        <v>2890</v>
      </c>
    </row>
    <row r="147" spans="1:6" x14ac:dyDescent="0.3">
      <c r="A147" s="1" t="s">
        <v>11</v>
      </c>
      <c r="B147" s="1" t="s">
        <v>7</v>
      </c>
      <c r="C147">
        <v>2022</v>
      </c>
      <c r="D147">
        <v>2</v>
      </c>
      <c r="E147">
        <v>106309.8872018261</v>
      </c>
      <c r="F147">
        <v>2680</v>
      </c>
    </row>
    <row r="148" spans="1:6" x14ac:dyDescent="0.3">
      <c r="A148" s="1" t="s">
        <v>11</v>
      </c>
      <c r="B148" s="1" t="s">
        <v>7</v>
      </c>
      <c r="C148">
        <v>2022</v>
      </c>
      <c r="D148">
        <v>3</v>
      </c>
      <c r="E148">
        <v>99511.549197129905</v>
      </c>
      <c r="F148">
        <v>2414</v>
      </c>
    </row>
    <row r="149" spans="1:6" x14ac:dyDescent="0.3">
      <c r="A149" s="1" t="s">
        <v>11</v>
      </c>
      <c r="B149" s="1" t="s">
        <v>7</v>
      </c>
      <c r="C149">
        <v>2022</v>
      </c>
      <c r="D149">
        <v>4</v>
      </c>
      <c r="E149">
        <v>151890.49094876461</v>
      </c>
      <c r="F149">
        <v>3802</v>
      </c>
    </row>
    <row r="150" spans="1:6" x14ac:dyDescent="0.3">
      <c r="A150" s="1" t="s">
        <v>11</v>
      </c>
      <c r="B150" s="1" t="s">
        <v>7</v>
      </c>
      <c r="C150">
        <v>2022</v>
      </c>
      <c r="D150">
        <v>5</v>
      </c>
      <c r="E150">
        <v>184228.8000031253</v>
      </c>
      <c r="F150">
        <v>4457</v>
      </c>
    </row>
    <row r="151" spans="1:6" x14ac:dyDescent="0.3">
      <c r="A151" s="1" t="s">
        <v>11</v>
      </c>
      <c r="B151" s="1" t="s">
        <v>7</v>
      </c>
      <c r="C151">
        <v>2022</v>
      </c>
      <c r="D151">
        <v>6</v>
      </c>
      <c r="E151">
        <v>130601.1844719966</v>
      </c>
      <c r="F151">
        <v>3384</v>
      </c>
    </row>
    <row r="152" spans="1:6" x14ac:dyDescent="0.3">
      <c r="A152" s="1" t="s">
        <v>11</v>
      </c>
      <c r="B152" s="1" t="s">
        <v>7</v>
      </c>
      <c r="C152">
        <v>2022</v>
      </c>
      <c r="D152">
        <v>7</v>
      </c>
      <c r="E152">
        <v>134666.90617967019</v>
      </c>
      <c r="F152">
        <v>3413</v>
      </c>
    </row>
    <row r="153" spans="1:6" x14ac:dyDescent="0.3">
      <c r="A153" s="1" t="s">
        <v>11</v>
      </c>
      <c r="B153" s="1" t="s">
        <v>7</v>
      </c>
      <c r="C153">
        <v>2022</v>
      </c>
      <c r="D153">
        <v>8</v>
      </c>
      <c r="E153">
        <v>119355.62903008331</v>
      </c>
      <c r="F153">
        <v>3015</v>
      </c>
    </row>
    <row r="154" spans="1:6" x14ac:dyDescent="0.3">
      <c r="A154" s="1" t="s">
        <v>11</v>
      </c>
      <c r="B154" s="1" t="s">
        <v>7</v>
      </c>
      <c r="C154">
        <v>2022</v>
      </c>
      <c r="D154">
        <v>9</v>
      </c>
      <c r="E154">
        <v>100974.1833324981</v>
      </c>
      <c r="F154">
        <v>2553</v>
      </c>
    </row>
    <row r="155" spans="1:6" x14ac:dyDescent="0.3">
      <c r="A155" s="1" t="s">
        <v>11</v>
      </c>
      <c r="B155" s="1" t="s">
        <v>7</v>
      </c>
      <c r="C155">
        <v>2022</v>
      </c>
      <c r="D155">
        <v>10</v>
      </c>
      <c r="E155">
        <v>156171.4512083857</v>
      </c>
      <c r="F155">
        <v>3942</v>
      </c>
    </row>
    <row r="156" spans="1:6" x14ac:dyDescent="0.3">
      <c r="A156" s="1" t="s">
        <v>11</v>
      </c>
      <c r="B156" s="1" t="s">
        <v>7</v>
      </c>
      <c r="C156">
        <v>2022</v>
      </c>
      <c r="D156">
        <v>11</v>
      </c>
      <c r="E156">
        <v>153170.37145662311</v>
      </c>
      <c r="F156">
        <v>3820</v>
      </c>
    </row>
    <row r="157" spans="1:6" x14ac:dyDescent="0.3">
      <c r="A157" s="1" t="s">
        <v>11</v>
      </c>
      <c r="B157" s="1" t="s">
        <v>7</v>
      </c>
      <c r="C157">
        <v>2022</v>
      </c>
      <c r="D157">
        <v>12</v>
      </c>
      <c r="E157">
        <v>100481.0249437103</v>
      </c>
      <c r="F157">
        <v>2551</v>
      </c>
    </row>
    <row r="158" spans="1:6" x14ac:dyDescent="0.3">
      <c r="A158" s="1" t="s">
        <v>11</v>
      </c>
      <c r="B158" s="1" t="s">
        <v>7</v>
      </c>
      <c r="C158">
        <v>2023</v>
      </c>
      <c r="D158">
        <v>1</v>
      </c>
      <c r="E158">
        <v>144560.45909722062</v>
      </c>
      <c r="F158">
        <v>3538</v>
      </c>
    </row>
    <row r="159" spans="1:6" x14ac:dyDescent="0.3">
      <c r="A159" s="1" t="s">
        <v>11</v>
      </c>
      <c r="B159" s="1" t="s">
        <v>7</v>
      </c>
      <c r="C159">
        <v>2023</v>
      </c>
      <c r="D159">
        <v>2</v>
      </c>
      <c r="E159">
        <v>119394.28541417239</v>
      </c>
      <c r="F159">
        <v>2920</v>
      </c>
    </row>
    <row r="160" spans="1:6" x14ac:dyDescent="0.3">
      <c r="A160" s="1" t="s">
        <v>11</v>
      </c>
      <c r="B160" s="1" t="s">
        <v>7</v>
      </c>
      <c r="C160">
        <v>2023</v>
      </c>
      <c r="D160">
        <v>3</v>
      </c>
      <c r="E160">
        <v>138481.8749148697</v>
      </c>
      <c r="F160">
        <v>3513</v>
      </c>
    </row>
    <row r="161" spans="1:6" x14ac:dyDescent="0.3">
      <c r="A161" s="1" t="s">
        <v>11</v>
      </c>
      <c r="B161" s="1" t="s">
        <v>7</v>
      </c>
      <c r="C161">
        <v>2023</v>
      </c>
      <c r="D161">
        <v>4</v>
      </c>
      <c r="E161">
        <v>131275.4584711715</v>
      </c>
      <c r="F161">
        <v>3260</v>
      </c>
    </row>
    <row r="162" spans="1:6" x14ac:dyDescent="0.3">
      <c r="A162" s="1" t="s">
        <v>11</v>
      </c>
      <c r="B162" s="1" t="s">
        <v>7</v>
      </c>
      <c r="C162">
        <v>2023</v>
      </c>
      <c r="D162">
        <v>5</v>
      </c>
      <c r="E162">
        <v>142774.68271427241</v>
      </c>
      <c r="F162">
        <v>3673</v>
      </c>
    </row>
    <row r="163" spans="1:6" x14ac:dyDescent="0.3">
      <c r="A163" s="1" t="s">
        <v>11</v>
      </c>
      <c r="B163" s="1" t="s">
        <v>7</v>
      </c>
      <c r="C163">
        <v>2023</v>
      </c>
      <c r="D163">
        <v>6</v>
      </c>
      <c r="E163">
        <v>181948.24482817668</v>
      </c>
      <c r="F163">
        <v>4426</v>
      </c>
    </row>
    <row r="164" spans="1:6" x14ac:dyDescent="0.3">
      <c r="A164" s="1" t="s">
        <v>11</v>
      </c>
      <c r="B164" s="1" t="s">
        <v>7</v>
      </c>
      <c r="C164">
        <v>2023</v>
      </c>
      <c r="D164">
        <v>7</v>
      </c>
      <c r="E164">
        <v>132291.48209276059</v>
      </c>
      <c r="F164">
        <v>3222</v>
      </c>
    </row>
    <row r="165" spans="1:6" x14ac:dyDescent="0.3">
      <c r="A165" s="1" t="s">
        <v>11</v>
      </c>
      <c r="B165" s="1" t="s">
        <v>7</v>
      </c>
      <c r="C165">
        <v>2023</v>
      </c>
      <c r="D165">
        <v>8</v>
      </c>
      <c r="E165">
        <v>135151.84285123181</v>
      </c>
      <c r="F165">
        <v>3405</v>
      </c>
    </row>
    <row r="166" spans="1:6" x14ac:dyDescent="0.3">
      <c r="A166" s="1" t="s">
        <v>11</v>
      </c>
      <c r="B166" s="1" t="s">
        <v>7</v>
      </c>
      <c r="C166">
        <v>2023</v>
      </c>
      <c r="D166">
        <v>9</v>
      </c>
      <c r="E166">
        <v>128986.3846545127</v>
      </c>
      <c r="F166">
        <v>3182</v>
      </c>
    </row>
    <row r="167" spans="1:6" x14ac:dyDescent="0.3">
      <c r="A167" s="1" t="s">
        <v>11</v>
      </c>
      <c r="B167" s="1" t="s">
        <v>7</v>
      </c>
      <c r="C167">
        <v>2023</v>
      </c>
      <c r="D167">
        <v>10</v>
      </c>
      <c r="E167">
        <v>129292.1314695561</v>
      </c>
      <c r="F167">
        <v>3244</v>
      </c>
    </row>
    <row r="168" spans="1:6" x14ac:dyDescent="0.3">
      <c r="A168" s="1" t="s">
        <v>11</v>
      </c>
      <c r="B168" s="1" t="s">
        <v>7</v>
      </c>
      <c r="C168">
        <v>2023</v>
      </c>
      <c r="D168">
        <v>11</v>
      </c>
      <c r="E168">
        <v>147473.51578751759</v>
      </c>
      <c r="F168">
        <v>3723</v>
      </c>
    </row>
    <row r="169" spans="1:6" x14ac:dyDescent="0.3">
      <c r="A169" s="1" t="s">
        <v>11</v>
      </c>
      <c r="B169" s="1" t="s">
        <v>7</v>
      </c>
      <c r="C169">
        <v>2023</v>
      </c>
      <c r="D169">
        <v>12</v>
      </c>
      <c r="E169">
        <v>128429.10635807001</v>
      </c>
      <c r="F169">
        <v>3168</v>
      </c>
    </row>
    <row r="170" spans="1:6" x14ac:dyDescent="0.3">
      <c r="A170" s="1" t="s">
        <v>11</v>
      </c>
      <c r="B170" s="1" t="s">
        <v>7</v>
      </c>
      <c r="C170">
        <v>2024</v>
      </c>
      <c r="D170">
        <v>1</v>
      </c>
      <c r="E170">
        <v>107902.57515300821</v>
      </c>
      <c r="F170">
        <v>2691</v>
      </c>
    </row>
    <row r="171" spans="1:6" x14ac:dyDescent="0.3">
      <c r="A171" s="1" t="s">
        <v>11</v>
      </c>
      <c r="B171" s="1" t="s">
        <v>7</v>
      </c>
      <c r="C171">
        <v>2024</v>
      </c>
      <c r="D171">
        <v>2</v>
      </c>
      <c r="E171">
        <v>126400.678232397</v>
      </c>
      <c r="F171">
        <v>3169</v>
      </c>
    </row>
    <row r="172" spans="1:6" x14ac:dyDescent="0.3">
      <c r="A172" s="1" t="s">
        <v>11</v>
      </c>
      <c r="B172" s="1" t="s">
        <v>7</v>
      </c>
      <c r="C172">
        <v>2024</v>
      </c>
      <c r="D172">
        <v>3</v>
      </c>
      <c r="E172">
        <v>124103.51681297171</v>
      </c>
      <c r="F172">
        <v>3019</v>
      </c>
    </row>
    <row r="173" spans="1:6" x14ac:dyDescent="0.3">
      <c r="A173" s="1" t="s">
        <v>11</v>
      </c>
      <c r="B173" s="1" t="s">
        <v>7</v>
      </c>
      <c r="C173">
        <v>2024</v>
      </c>
      <c r="D173">
        <v>4</v>
      </c>
      <c r="E173">
        <v>129298.4601904312</v>
      </c>
      <c r="F173">
        <v>3325</v>
      </c>
    </row>
    <row r="174" spans="1:6" x14ac:dyDescent="0.3">
      <c r="A174" s="1" t="s">
        <v>11</v>
      </c>
      <c r="B174" s="1" t="s">
        <v>7</v>
      </c>
      <c r="C174">
        <v>2024</v>
      </c>
      <c r="D174">
        <v>5</v>
      </c>
      <c r="E174">
        <v>186276.27315654879</v>
      </c>
      <c r="F174">
        <v>4615</v>
      </c>
    </row>
    <row r="175" spans="1:6" x14ac:dyDescent="0.3">
      <c r="A175" s="1" t="s">
        <v>11</v>
      </c>
      <c r="B175" s="1" t="s">
        <v>7</v>
      </c>
      <c r="C175">
        <v>2024</v>
      </c>
      <c r="D175">
        <v>6</v>
      </c>
      <c r="E175">
        <v>188288.1387889054</v>
      </c>
      <c r="F175">
        <v>4656</v>
      </c>
    </row>
    <row r="176" spans="1:6" x14ac:dyDescent="0.3">
      <c r="A176" s="1" t="s">
        <v>11</v>
      </c>
      <c r="B176" s="1" t="s">
        <v>7</v>
      </c>
      <c r="C176">
        <v>2024</v>
      </c>
      <c r="D176">
        <v>7</v>
      </c>
      <c r="E176">
        <v>118320.2848336334</v>
      </c>
      <c r="F176">
        <v>3009</v>
      </c>
    </row>
    <row r="177" spans="1:6" x14ac:dyDescent="0.3">
      <c r="A177" s="1" t="s">
        <v>11</v>
      </c>
      <c r="B177" s="1" t="s">
        <v>7</v>
      </c>
      <c r="C177">
        <v>2024</v>
      </c>
      <c r="D177">
        <v>8</v>
      </c>
      <c r="E177">
        <v>106860.4261370562</v>
      </c>
      <c r="F177">
        <v>2663</v>
      </c>
    </row>
    <row r="178" spans="1:6" x14ac:dyDescent="0.3">
      <c r="A178" s="1" t="s">
        <v>11</v>
      </c>
      <c r="B178" s="1" t="s">
        <v>7</v>
      </c>
      <c r="C178">
        <v>2024</v>
      </c>
      <c r="D178">
        <v>9</v>
      </c>
      <c r="E178">
        <v>142950.94443768071</v>
      </c>
      <c r="F178">
        <v>3545</v>
      </c>
    </row>
    <row r="179" spans="1:6" x14ac:dyDescent="0.3">
      <c r="A179" s="1" t="s">
        <v>11</v>
      </c>
      <c r="B179" s="1" t="s">
        <v>7</v>
      </c>
      <c r="C179">
        <v>2024</v>
      </c>
      <c r="D179">
        <v>10</v>
      </c>
      <c r="E179">
        <v>146159.5774831083</v>
      </c>
      <c r="F179">
        <v>3681</v>
      </c>
    </row>
    <row r="180" spans="1:6" x14ac:dyDescent="0.3">
      <c r="A180" s="1" t="s">
        <v>11</v>
      </c>
      <c r="B180" s="1" t="s">
        <v>7</v>
      </c>
      <c r="C180">
        <v>2024</v>
      </c>
      <c r="D180">
        <v>11</v>
      </c>
      <c r="E180">
        <v>110343.05080031599</v>
      </c>
      <c r="F180">
        <v>2800</v>
      </c>
    </row>
    <row r="181" spans="1:6" x14ac:dyDescent="0.3">
      <c r="A181" s="1" t="s">
        <v>11</v>
      </c>
      <c r="B181" s="1" t="s">
        <v>7</v>
      </c>
      <c r="C181">
        <v>2024</v>
      </c>
      <c r="D181">
        <v>12</v>
      </c>
      <c r="E181">
        <v>153249.29119857118</v>
      </c>
      <c r="F181">
        <v>3807</v>
      </c>
    </row>
    <row r="182" spans="1:6" x14ac:dyDescent="0.3">
      <c r="A182" s="1" t="s">
        <v>11</v>
      </c>
      <c r="B182" s="1" t="s">
        <v>8</v>
      </c>
      <c r="C182">
        <v>2022</v>
      </c>
      <c r="D182">
        <v>1</v>
      </c>
      <c r="E182">
        <v>180688.03697122628</v>
      </c>
      <c r="F182">
        <v>4569</v>
      </c>
    </row>
    <row r="183" spans="1:6" x14ac:dyDescent="0.3">
      <c r="A183" s="1" t="s">
        <v>11</v>
      </c>
      <c r="B183" s="1" t="s">
        <v>8</v>
      </c>
      <c r="C183">
        <v>2022</v>
      </c>
      <c r="D183">
        <v>2</v>
      </c>
      <c r="E183">
        <v>110052.90119751731</v>
      </c>
      <c r="F183">
        <v>2743</v>
      </c>
    </row>
    <row r="184" spans="1:6" x14ac:dyDescent="0.3">
      <c r="A184" s="1" t="s">
        <v>11</v>
      </c>
      <c r="B184" s="1" t="s">
        <v>8</v>
      </c>
      <c r="C184">
        <v>2022</v>
      </c>
      <c r="D184">
        <v>3</v>
      </c>
      <c r="E184">
        <v>139089.18625694321</v>
      </c>
      <c r="F184">
        <v>3447</v>
      </c>
    </row>
    <row r="185" spans="1:6" x14ac:dyDescent="0.3">
      <c r="A185" s="1" t="s">
        <v>11</v>
      </c>
      <c r="B185" s="1" t="s">
        <v>8</v>
      </c>
      <c r="C185">
        <v>2022</v>
      </c>
      <c r="D185">
        <v>4</v>
      </c>
      <c r="E185">
        <v>180410.7153879962</v>
      </c>
      <c r="F185">
        <v>4392</v>
      </c>
    </row>
    <row r="186" spans="1:6" x14ac:dyDescent="0.3">
      <c r="A186" s="1" t="s">
        <v>11</v>
      </c>
      <c r="B186" s="1" t="s">
        <v>8</v>
      </c>
      <c r="C186">
        <v>2022</v>
      </c>
      <c r="D186">
        <v>5</v>
      </c>
      <c r="E186">
        <v>194471.36294217952</v>
      </c>
      <c r="F186">
        <v>4783</v>
      </c>
    </row>
    <row r="187" spans="1:6" x14ac:dyDescent="0.3">
      <c r="A187" s="1" t="s">
        <v>11</v>
      </c>
      <c r="B187" s="1" t="s">
        <v>8</v>
      </c>
      <c r="C187">
        <v>2022</v>
      </c>
      <c r="D187">
        <v>6</v>
      </c>
      <c r="E187">
        <v>152600.8499411568</v>
      </c>
      <c r="F187">
        <v>3753</v>
      </c>
    </row>
    <row r="188" spans="1:6" x14ac:dyDescent="0.3">
      <c r="A188" s="1" t="s">
        <v>11</v>
      </c>
      <c r="B188" s="1" t="s">
        <v>8</v>
      </c>
      <c r="C188">
        <v>2022</v>
      </c>
      <c r="D188">
        <v>7</v>
      </c>
      <c r="E188">
        <v>103767.25964584009</v>
      </c>
      <c r="F188">
        <v>2601</v>
      </c>
    </row>
    <row r="189" spans="1:6" x14ac:dyDescent="0.3">
      <c r="A189" s="1" t="s">
        <v>11</v>
      </c>
      <c r="B189" s="1" t="s">
        <v>8</v>
      </c>
      <c r="C189">
        <v>2022</v>
      </c>
      <c r="D189">
        <v>8</v>
      </c>
      <c r="E189">
        <v>184248.2353424383</v>
      </c>
      <c r="F189">
        <v>4690</v>
      </c>
    </row>
    <row r="190" spans="1:6" x14ac:dyDescent="0.3">
      <c r="A190" s="1" t="s">
        <v>11</v>
      </c>
      <c r="B190" s="1" t="s">
        <v>8</v>
      </c>
      <c r="C190">
        <v>2022</v>
      </c>
      <c r="D190">
        <v>9</v>
      </c>
      <c r="E190">
        <v>135070.4024346713</v>
      </c>
      <c r="F190">
        <v>3339</v>
      </c>
    </row>
    <row r="191" spans="1:6" x14ac:dyDescent="0.3">
      <c r="A191" s="1" t="s">
        <v>11</v>
      </c>
      <c r="B191" s="1" t="s">
        <v>8</v>
      </c>
      <c r="C191">
        <v>2022</v>
      </c>
      <c r="D191">
        <v>10</v>
      </c>
      <c r="E191">
        <v>174723.93584412249</v>
      </c>
      <c r="F191">
        <v>4260</v>
      </c>
    </row>
    <row r="192" spans="1:6" x14ac:dyDescent="0.3">
      <c r="A192" s="1" t="s">
        <v>11</v>
      </c>
      <c r="B192" s="1" t="s">
        <v>8</v>
      </c>
      <c r="C192">
        <v>2022</v>
      </c>
      <c r="D192">
        <v>11</v>
      </c>
      <c r="E192">
        <v>144753.2978151282</v>
      </c>
      <c r="F192">
        <v>3618</v>
      </c>
    </row>
    <row r="193" spans="1:6" x14ac:dyDescent="0.3">
      <c r="A193" s="1" t="s">
        <v>11</v>
      </c>
      <c r="B193" s="1" t="s">
        <v>8</v>
      </c>
      <c r="C193">
        <v>2022</v>
      </c>
      <c r="D193">
        <v>12</v>
      </c>
      <c r="E193">
        <v>154101.1988462341</v>
      </c>
      <c r="F193">
        <v>3871</v>
      </c>
    </row>
    <row r="194" spans="1:6" x14ac:dyDescent="0.3">
      <c r="A194" s="1" t="s">
        <v>11</v>
      </c>
      <c r="B194" s="1" t="s">
        <v>8</v>
      </c>
      <c r="C194">
        <v>2023</v>
      </c>
      <c r="D194">
        <v>1</v>
      </c>
      <c r="E194">
        <v>154066.59201119101</v>
      </c>
      <c r="F194">
        <v>3779</v>
      </c>
    </row>
    <row r="195" spans="1:6" x14ac:dyDescent="0.3">
      <c r="A195" s="1" t="s">
        <v>11</v>
      </c>
      <c r="B195" s="1" t="s">
        <v>8</v>
      </c>
      <c r="C195">
        <v>2023</v>
      </c>
      <c r="D195">
        <v>2</v>
      </c>
      <c r="E195">
        <v>134020.6006312817</v>
      </c>
      <c r="F195">
        <v>3444</v>
      </c>
    </row>
    <row r="196" spans="1:6" x14ac:dyDescent="0.3">
      <c r="A196" s="1" t="s">
        <v>11</v>
      </c>
      <c r="B196" s="1" t="s">
        <v>8</v>
      </c>
      <c r="C196">
        <v>2023</v>
      </c>
      <c r="D196">
        <v>3</v>
      </c>
      <c r="E196">
        <v>158661.41735329939</v>
      </c>
      <c r="F196">
        <v>3950</v>
      </c>
    </row>
    <row r="197" spans="1:6" x14ac:dyDescent="0.3">
      <c r="A197" s="1" t="s">
        <v>11</v>
      </c>
      <c r="B197" s="1" t="s">
        <v>8</v>
      </c>
      <c r="C197">
        <v>2023</v>
      </c>
      <c r="D197">
        <v>4</v>
      </c>
      <c r="E197">
        <v>138280.32712059381</v>
      </c>
      <c r="F197">
        <v>3485</v>
      </c>
    </row>
    <row r="198" spans="1:6" x14ac:dyDescent="0.3">
      <c r="A198" s="1" t="s">
        <v>11</v>
      </c>
      <c r="B198" s="1" t="s">
        <v>8</v>
      </c>
      <c r="C198">
        <v>2023</v>
      </c>
      <c r="D198">
        <v>5</v>
      </c>
      <c r="E198">
        <v>162864.6739087571</v>
      </c>
      <c r="F198">
        <v>4006</v>
      </c>
    </row>
    <row r="199" spans="1:6" x14ac:dyDescent="0.3">
      <c r="A199" s="1" t="s">
        <v>11</v>
      </c>
      <c r="B199" s="1" t="s">
        <v>8</v>
      </c>
      <c r="C199">
        <v>2023</v>
      </c>
      <c r="D199">
        <v>6</v>
      </c>
      <c r="E199">
        <v>240595.15867256941</v>
      </c>
      <c r="F199">
        <v>5832</v>
      </c>
    </row>
    <row r="200" spans="1:6" x14ac:dyDescent="0.3">
      <c r="A200" s="1" t="s">
        <v>11</v>
      </c>
      <c r="B200" s="1" t="s">
        <v>8</v>
      </c>
      <c r="C200">
        <v>2023</v>
      </c>
      <c r="D200">
        <v>7</v>
      </c>
      <c r="E200">
        <v>122141.88711562</v>
      </c>
      <c r="F200">
        <v>3001</v>
      </c>
    </row>
    <row r="201" spans="1:6" x14ac:dyDescent="0.3">
      <c r="A201" s="1" t="s">
        <v>11</v>
      </c>
      <c r="B201" s="1" t="s">
        <v>8</v>
      </c>
      <c r="C201">
        <v>2023</v>
      </c>
      <c r="D201">
        <v>8</v>
      </c>
      <c r="E201">
        <v>162922.51817115021</v>
      </c>
      <c r="F201">
        <v>4203</v>
      </c>
    </row>
    <row r="202" spans="1:6" x14ac:dyDescent="0.3">
      <c r="A202" s="1" t="s">
        <v>11</v>
      </c>
      <c r="B202" s="1" t="s">
        <v>8</v>
      </c>
      <c r="C202">
        <v>2023</v>
      </c>
      <c r="D202">
        <v>9</v>
      </c>
      <c r="E202">
        <v>127017.112826842</v>
      </c>
      <c r="F202">
        <v>3143</v>
      </c>
    </row>
    <row r="203" spans="1:6" x14ac:dyDescent="0.3">
      <c r="A203" s="1" t="s">
        <v>11</v>
      </c>
      <c r="B203" s="1" t="s">
        <v>8</v>
      </c>
      <c r="C203">
        <v>2023</v>
      </c>
      <c r="D203">
        <v>10</v>
      </c>
      <c r="E203">
        <v>172631.6769665126</v>
      </c>
      <c r="F203">
        <v>4324</v>
      </c>
    </row>
    <row r="204" spans="1:6" x14ac:dyDescent="0.3">
      <c r="A204" s="1" t="s">
        <v>11</v>
      </c>
      <c r="B204" s="1" t="s">
        <v>8</v>
      </c>
      <c r="C204">
        <v>2023</v>
      </c>
      <c r="D204">
        <v>11</v>
      </c>
      <c r="E204">
        <v>147953.66070748589</v>
      </c>
      <c r="F204">
        <v>3763</v>
      </c>
    </row>
    <row r="205" spans="1:6" x14ac:dyDescent="0.3">
      <c r="A205" s="1" t="s">
        <v>11</v>
      </c>
      <c r="B205" s="1" t="s">
        <v>8</v>
      </c>
      <c r="C205">
        <v>2023</v>
      </c>
      <c r="D205">
        <v>12</v>
      </c>
      <c r="E205">
        <v>137665.7583099902</v>
      </c>
      <c r="F205">
        <v>3453</v>
      </c>
    </row>
    <row r="206" spans="1:6" x14ac:dyDescent="0.3">
      <c r="A206" s="1" t="s">
        <v>11</v>
      </c>
      <c r="B206" s="1" t="s">
        <v>8</v>
      </c>
      <c r="C206">
        <v>2024</v>
      </c>
      <c r="D206">
        <v>1</v>
      </c>
      <c r="E206">
        <v>148745.0926764654</v>
      </c>
      <c r="F206">
        <v>3786</v>
      </c>
    </row>
    <row r="207" spans="1:6" x14ac:dyDescent="0.3">
      <c r="A207" s="1" t="s">
        <v>11</v>
      </c>
      <c r="B207" s="1" t="s">
        <v>8</v>
      </c>
      <c r="C207">
        <v>2024</v>
      </c>
      <c r="D207">
        <v>2</v>
      </c>
      <c r="E207">
        <v>132485.12711327901</v>
      </c>
      <c r="F207">
        <v>3372</v>
      </c>
    </row>
    <row r="208" spans="1:6" x14ac:dyDescent="0.3">
      <c r="A208" s="1" t="s">
        <v>11</v>
      </c>
      <c r="B208" s="1" t="s">
        <v>8</v>
      </c>
      <c r="C208">
        <v>2024</v>
      </c>
      <c r="D208">
        <v>3</v>
      </c>
      <c r="E208">
        <v>145935.77406649751</v>
      </c>
      <c r="F208">
        <v>3629</v>
      </c>
    </row>
    <row r="209" spans="1:6" x14ac:dyDescent="0.3">
      <c r="A209" s="1" t="s">
        <v>11</v>
      </c>
      <c r="B209" s="1" t="s">
        <v>8</v>
      </c>
      <c r="C209">
        <v>2024</v>
      </c>
      <c r="D209">
        <v>4</v>
      </c>
      <c r="E209">
        <v>165247.2197953407</v>
      </c>
      <c r="F209">
        <v>4141</v>
      </c>
    </row>
    <row r="210" spans="1:6" x14ac:dyDescent="0.3">
      <c r="A210" s="1" t="s">
        <v>11</v>
      </c>
      <c r="B210" s="1" t="s">
        <v>8</v>
      </c>
      <c r="C210">
        <v>2024</v>
      </c>
      <c r="D210">
        <v>5</v>
      </c>
      <c r="E210">
        <v>114967.3717119405</v>
      </c>
      <c r="F210">
        <v>2923</v>
      </c>
    </row>
    <row r="211" spans="1:6" x14ac:dyDescent="0.3">
      <c r="A211" s="1" t="s">
        <v>11</v>
      </c>
      <c r="B211" s="1" t="s">
        <v>8</v>
      </c>
      <c r="C211">
        <v>2024</v>
      </c>
      <c r="D211">
        <v>6</v>
      </c>
      <c r="E211">
        <v>153714.27201279061</v>
      </c>
      <c r="F211">
        <v>3826</v>
      </c>
    </row>
    <row r="212" spans="1:6" x14ac:dyDescent="0.3">
      <c r="A212" s="1" t="s">
        <v>11</v>
      </c>
      <c r="B212" s="1" t="s">
        <v>8</v>
      </c>
      <c r="C212">
        <v>2024</v>
      </c>
      <c r="D212">
        <v>7</v>
      </c>
      <c r="E212">
        <v>134028.2007758785</v>
      </c>
      <c r="F212">
        <v>3445</v>
      </c>
    </row>
    <row r="213" spans="1:6" x14ac:dyDescent="0.3">
      <c r="A213" s="1" t="s">
        <v>11</v>
      </c>
      <c r="B213" s="1" t="s">
        <v>8</v>
      </c>
      <c r="C213">
        <v>2024</v>
      </c>
      <c r="D213">
        <v>8</v>
      </c>
      <c r="E213">
        <v>132146.57342686411</v>
      </c>
      <c r="F213">
        <v>3338</v>
      </c>
    </row>
    <row r="214" spans="1:6" x14ac:dyDescent="0.3">
      <c r="A214" s="1" t="s">
        <v>11</v>
      </c>
      <c r="B214" s="1" t="s">
        <v>8</v>
      </c>
      <c r="C214">
        <v>2024</v>
      </c>
      <c r="D214">
        <v>9</v>
      </c>
      <c r="E214">
        <v>161661.21244024951</v>
      </c>
      <c r="F214">
        <v>4063</v>
      </c>
    </row>
    <row r="215" spans="1:6" x14ac:dyDescent="0.3">
      <c r="A215" s="1" t="s">
        <v>11</v>
      </c>
      <c r="B215" s="1" t="s">
        <v>8</v>
      </c>
      <c r="C215">
        <v>2024</v>
      </c>
      <c r="D215">
        <v>10</v>
      </c>
      <c r="E215">
        <v>191300.16595384671</v>
      </c>
      <c r="F215">
        <v>4817</v>
      </c>
    </row>
    <row r="216" spans="1:6" x14ac:dyDescent="0.3">
      <c r="A216" s="1" t="s">
        <v>11</v>
      </c>
      <c r="B216" s="1" t="s">
        <v>8</v>
      </c>
      <c r="C216">
        <v>2024</v>
      </c>
      <c r="D216">
        <v>11</v>
      </c>
      <c r="E216">
        <v>119922.29750079662</v>
      </c>
      <c r="F216">
        <v>3004</v>
      </c>
    </row>
    <row r="217" spans="1:6" x14ac:dyDescent="0.3">
      <c r="A217" s="1" t="s">
        <v>11</v>
      </c>
      <c r="B217" s="1" t="s">
        <v>8</v>
      </c>
      <c r="C217">
        <v>2024</v>
      </c>
      <c r="D217">
        <v>12</v>
      </c>
      <c r="E217">
        <v>127793.77052348289</v>
      </c>
      <c r="F217">
        <v>3163</v>
      </c>
    </row>
    <row r="218" spans="1:6" x14ac:dyDescent="0.3">
      <c r="A218" s="1" t="s">
        <v>11</v>
      </c>
      <c r="B218" s="1" t="s">
        <v>9</v>
      </c>
      <c r="C218">
        <v>2022</v>
      </c>
      <c r="D218">
        <v>1</v>
      </c>
      <c r="E218">
        <v>75318.245268076702</v>
      </c>
      <c r="F218">
        <v>1894</v>
      </c>
    </row>
    <row r="219" spans="1:6" x14ac:dyDescent="0.3">
      <c r="A219" s="1" t="s">
        <v>11</v>
      </c>
      <c r="B219" s="1" t="s">
        <v>9</v>
      </c>
      <c r="C219">
        <v>2022</v>
      </c>
      <c r="D219">
        <v>2</v>
      </c>
      <c r="E219">
        <v>84488.250912797695</v>
      </c>
      <c r="F219">
        <v>2127</v>
      </c>
    </row>
    <row r="220" spans="1:6" x14ac:dyDescent="0.3">
      <c r="A220" s="1" t="s">
        <v>11</v>
      </c>
      <c r="B220" s="1" t="s">
        <v>9</v>
      </c>
      <c r="C220">
        <v>2022</v>
      </c>
      <c r="D220">
        <v>3</v>
      </c>
      <c r="E220">
        <v>66423.0715926782</v>
      </c>
      <c r="F220">
        <v>1687</v>
      </c>
    </row>
    <row r="221" spans="1:6" x14ac:dyDescent="0.3">
      <c r="A221" s="1" t="s">
        <v>11</v>
      </c>
      <c r="B221" s="1" t="s">
        <v>9</v>
      </c>
      <c r="C221">
        <v>2022</v>
      </c>
      <c r="D221">
        <v>4</v>
      </c>
      <c r="E221">
        <v>70350.604276201702</v>
      </c>
      <c r="F221">
        <v>1742</v>
      </c>
    </row>
    <row r="222" spans="1:6" x14ac:dyDescent="0.3">
      <c r="A222" s="1" t="s">
        <v>11</v>
      </c>
      <c r="B222" s="1" t="s">
        <v>9</v>
      </c>
      <c r="C222">
        <v>2022</v>
      </c>
      <c r="D222">
        <v>5</v>
      </c>
      <c r="E222">
        <v>101715.5284877168</v>
      </c>
      <c r="F222">
        <v>2537</v>
      </c>
    </row>
    <row r="223" spans="1:6" x14ac:dyDescent="0.3">
      <c r="A223" s="1" t="s">
        <v>11</v>
      </c>
      <c r="B223" s="1" t="s">
        <v>9</v>
      </c>
      <c r="C223">
        <v>2022</v>
      </c>
      <c r="D223">
        <v>6</v>
      </c>
      <c r="E223">
        <v>80279.246572122007</v>
      </c>
      <c r="F223">
        <v>2052</v>
      </c>
    </row>
    <row r="224" spans="1:6" x14ac:dyDescent="0.3">
      <c r="A224" s="1" t="s">
        <v>11</v>
      </c>
      <c r="B224" s="1" t="s">
        <v>9</v>
      </c>
      <c r="C224">
        <v>2022</v>
      </c>
      <c r="D224">
        <v>7</v>
      </c>
      <c r="E224">
        <v>92619.951301021501</v>
      </c>
      <c r="F224">
        <v>2237</v>
      </c>
    </row>
    <row r="225" spans="1:6" x14ac:dyDescent="0.3">
      <c r="A225" s="1" t="s">
        <v>11</v>
      </c>
      <c r="B225" s="1" t="s">
        <v>9</v>
      </c>
      <c r="C225">
        <v>2022</v>
      </c>
      <c r="D225">
        <v>8</v>
      </c>
      <c r="E225">
        <v>67904.957694643206</v>
      </c>
      <c r="F225">
        <v>1744</v>
      </c>
    </row>
    <row r="226" spans="1:6" x14ac:dyDescent="0.3">
      <c r="A226" s="1" t="s">
        <v>11</v>
      </c>
      <c r="B226" s="1" t="s">
        <v>9</v>
      </c>
      <c r="C226">
        <v>2022</v>
      </c>
      <c r="D226">
        <v>9</v>
      </c>
      <c r="E226">
        <v>86968.035231254093</v>
      </c>
      <c r="F226">
        <v>2139</v>
      </c>
    </row>
    <row r="227" spans="1:6" x14ac:dyDescent="0.3">
      <c r="A227" s="1" t="s">
        <v>11</v>
      </c>
      <c r="B227" s="1" t="s">
        <v>9</v>
      </c>
      <c r="C227">
        <v>2022</v>
      </c>
      <c r="D227">
        <v>10</v>
      </c>
      <c r="E227">
        <v>108722.565225577</v>
      </c>
      <c r="F227">
        <v>2686</v>
      </c>
    </row>
    <row r="228" spans="1:6" x14ac:dyDescent="0.3">
      <c r="A228" s="1" t="s">
        <v>11</v>
      </c>
      <c r="B228" s="1" t="s">
        <v>9</v>
      </c>
      <c r="C228">
        <v>2022</v>
      </c>
      <c r="D228">
        <v>11</v>
      </c>
      <c r="E228">
        <v>92880.496212025202</v>
      </c>
      <c r="F228">
        <v>2342</v>
      </c>
    </row>
    <row r="229" spans="1:6" x14ac:dyDescent="0.3">
      <c r="A229" s="1" t="s">
        <v>11</v>
      </c>
      <c r="B229" s="1" t="s">
        <v>9</v>
      </c>
      <c r="C229">
        <v>2022</v>
      </c>
      <c r="D229">
        <v>12</v>
      </c>
      <c r="E229">
        <v>77200.773532632709</v>
      </c>
      <c r="F229">
        <v>1967</v>
      </c>
    </row>
    <row r="230" spans="1:6" x14ac:dyDescent="0.3">
      <c r="A230" s="1" t="s">
        <v>11</v>
      </c>
      <c r="B230" s="1" t="s">
        <v>9</v>
      </c>
      <c r="C230">
        <v>2023</v>
      </c>
      <c r="D230">
        <v>1</v>
      </c>
      <c r="E230">
        <v>68549.477462853305</v>
      </c>
      <c r="F230">
        <v>1732</v>
      </c>
    </row>
    <row r="231" spans="1:6" x14ac:dyDescent="0.3">
      <c r="A231" s="1" t="s">
        <v>11</v>
      </c>
      <c r="B231" s="1" t="s">
        <v>9</v>
      </c>
      <c r="C231">
        <v>2023</v>
      </c>
      <c r="D231">
        <v>2</v>
      </c>
      <c r="E231">
        <v>79441.635759908706</v>
      </c>
      <c r="F231">
        <v>1980</v>
      </c>
    </row>
    <row r="232" spans="1:6" x14ac:dyDescent="0.3">
      <c r="A232" s="1" t="s">
        <v>11</v>
      </c>
      <c r="B232" s="1" t="s">
        <v>9</v>
      </c>
      <c r="C232">
        <v>2023</v>
      </c>
      <c r="D232">
        <v>3</v>
      </c>
      <c r="E232">
        <v>58497.939782444497</v>
      </c>
      <c r="F232">
        <v>1457</v>
      </c>
    </row>
    <row r="233" spans="1:6" x14ac:dyDescent="0.3">
      <c r="A233" s="1" t="s">
        <v>11</v>
      </c>
      <c r="B233" s="1" t="s">
        <v>9</v>
      </c>
      <c r="C233">
        <v>2023</v>
      </c>
      <c r="D233">
        <v>4</v>
      </c>
      <c r="E233">
        <v>111644.45869949651</v>
      </c>
      <c r="F233">
        <v>2881</v>
      </c>
    </row>
    <row r="234" spans="1:6" x14ac:dyDescent="0.3">
      <c r="A234" s="1" t="s">
        <v>11</v>
      </c>
      <c r="B234" s="1" t="s">
        <v>9</v>
      </c>
      <c r="C234">
        <v>2023</v>
      </c>
      <c r="D234">
        <v>5</v>
      </c>
      <c r="E234">
        <v>93346.17734396171</v>
      </c>
      <c r="F234">
        <v>2360</v>
      </c>
    </row>
    <row r="235" spans="1:6" x14ac:dyDescent="0.3">
      <c r="A235" s="1" t="s">
        <v>11</v>
      </c>
      <c r="B235" s="1" t="s">
        <v>9</v>
      </c>
      <c r="C235">
        <v>2023</v>
      </c>
      <c r="D235">
        <v>6</v>
      </c>
      <c r="E235">
        <v>80625.295683206103</v>
      </c>
      <c r="F235">
        <v>2033</v>
      </c>
    </row>
    <row r="236" spans="1:6" x14ac:dyDescent="0.3">
      <c r="A236" s="1" t="s">
        <v>11</v>
      </c>
      <c r="B236" s="1" t="s">
        <v>9</v>
      </c>
      <c r="C236">
        <v>2023</v>
      </c>
      <c r="D236">
        <v>7</v>
      </c>
      <c r="E236">
        <v>78775.636744033603</v>
      </c>
      <c r="F236">
        <v>1973</v>
      </c>
    </row>
    <row r="237" spans="1:6" x14ac:dyDescent="0.3">
      <c r="A237" s="1" t="s">
        <v>11</v>
      </c>
      <c r="B237" s="1" t="s">
        <v>9</v>
      </c>
      <c r="C237">
        <v>2023</v>
      </c>
      <c r="D237">
        <v>8</v>
      </c>
      <c r="E237">
        <v>77327.467793359392</v>
      </c>
      <c r="F237">
        <v>1952</v>
      </c>
    </row>
    <row r="238" spans="1:6" x14ac:dyDescent="0.3">
      <c r="A238" s="1" t="s">
        <v>11</v>
      </c>
      <c r="B238" s="1" t="s">
        <v>9</v>
      </c>
      <c r="C238">
        <v>2023</v>
      </c>
      <c r="D238">
        <v>9</v>
      </c>
      <c r="E238">
        <v>96333.272334998401</v>
      </c>
      <c r="F238">
        <v>2405</v>
      </c>
    </row>
    <row r="239" spans="1:6" x14ac:dyDescent="0.3">
      <c r="A239" s="1" t="s">
        <v>11</v>
      </c>
      <c r="B239" s="1" t="s">
        <v>9</v>
      </c>
      <c r="C239">
        <v>2023</v>
      </c>
      <c r="D239">
        <v>10</v>
      </c>
      <c r="E239">
        <v>112143.7527413183</v>
      </c>
      <c r="F239">
        <v>2769</v>
      </c>
    </row>
    <row r="240" spans="1:6" x14ac:dyDescent="0.3">
      <c r="A240" s="1" t="s">
        <v>11</v>
      </c>
      <c r="B240" s="1" t="s">
        <v>9</v>
      </c>
      <c r="C240">
        <v>2023</v>
      </c>
      <c r="D240">
        <v>11</v>
      </c>
      <c r="E240">
        <v>104373.9110967163</v>
      </c>
      <c r="F240">
        <v>2563</v>
      </c>
    </row>
    <row r="241" spans="1:6" x14ac:dyDescent="0.3">
      <c r="A241" s="1" t="s">
        <v>11</v>
      </c>
      <c r="B241" s="1" t="s">
        <v>9</v>
      </c>
      <c r="C241">
        <v>2023</v>
      </c>
      <c r="D241">
        <v>12</v>
      </c>
      <c r="E241">
        <v>117075.0430279328</v>
      </c>
      <c r="F241">
        <v>2993</v>
      </c>
    </row>
    <row r="242" spans="1:6" x14ac:dyDescent="0.3">
      <c r="A242" s="1" t="s">
        <v>11</v>
      </c>
      <c r="B242" s="1" t="s">
        <v>9</v>
      </c>
      <c r="C242">
        <v>2024</v>
      </c>
      <c r="D242">
        <v>1</v>
      </c>
      <c r="E242">
        <v>83867.457012867599</v>
      </c>
      <c r="F242">
        <v>2150</v>
      </c>
    </row>
    <row r="243" spans="1:6" x14ac:dyDescent="0.3">
      <c r="A243" s="1" t="s">
        <v>11</v>
      </c>
      <c r="B243" s="1" t="s">
        <v>9</v>
      </c>
      <c r="C243">
        <v>2024</v>
      </c>
      <c r="D243">
        <v>2</v>
      </c>
      <c r="E243">
        <v>74147.210647590502</v>
      </c>
      <c r="F243">
        <v>1888</v>
      </c>
    </row>
    <row r="244" spans="1:6" x14ac:dyDescent="0.3">
      <c r="A244" s="1" t="s">
        <v>11</v>
      </c>
      <c r="B244" s="1" t="s">
        <v>9</v>
      </c>
      <c r="C244">
        <v>2024</v>
      </c>
      <c r="D244">
        <v>3</v>
      </c>
      <c r="E244">
        <v>71688.203392854004</v>
      </c>
      <c r="F244">
        <v>1831</v>
      </c>
    </row>
    <row r="245" spans="1:6" x14ac:dyDescent="0.3">
      <c r="A245" s="1" t="s">
        <v>11</v>
      </c>
      <c r="B245" s="1" t="s">
        <v>9</v>
      </c>
      <c r="C245">
        <v>2024</v>
      </c>
      <c r="D245">
        <v>4</v>
      </c>
      <c r="E245">
        <v>93717.282647878892</v>
      </c>
      <c r="F245">
        <v>2272</v>
      </c>
    </row>
    <row r="246" spans="1:6" x14ac:dyDescent="0.3">
      <c r="A246" s="1" t="s">
        <v>11</v>
      </c>
      <c r="B246" s="1" t="s">
        <v>9</v>
      </c>
      <c r="C246">
        <v>2024</v>
      </c>
      <c r="D246">
        <v>5</v>
      </c>
      <c r="E246">
        <v>129007.8657996431</v>
      </c>
      <c r="F246">
        <v>3283</v>
      </c>
    </row>
    <row r="247" spans="1:6" x14ac:dyDescent="0.3">
      <c r="A247" s="1" t="s">
        <v>11</v>
      </c>
      <c r="B247" s="1" t="s">
        <v>9</v>
      </c>
      <c r="C247">
        <v>2024</v>
      </c>
      <c r="D247">
        <v>6</v>
      </c>
      <c r="E247">
        <v>96485.037958182395</v>
      </c>
      <c r="F247">
        <v>2376</v>
      </c>
    </row>
    <row r="248" spans="1:6" x14ac:dyDescent="0.3">
      <c r="A248" s="1" t="s">
        <v>11</v>
      </c>
      <c r="B248" s="1" t="s">
        <v>9</v>
      </c>
      <c r="C248">
        <v>2024</v>
      </c>
      <c r="D248">
        <v>7</v>
      </c>
      <c r="E248">
        <v>101216.7866892098</v>
      </c>
      <c r="F248">
        <v>2568</v>
      </c>
    </row>
    <row r="249" spans="1:6" x14ac:dyDescent="0.3">
      <c r="A249" s="1" t="s">
        <v>11</v>
      </c>
      <c r="B249" s="1" t="s">
        <v>9</v>
      </c>
      <c r="C249">
        <v>2024</v>
      </c>
      <c r="D249">
        <v>8</v>
      </c>
      <c r="E249">
        <v>83552.519127414504</v>
      </c>
      <c r="F249">
        <v>2157</v>
      </c>
    </row>
    <row r="250" spans="1:6" x14ac:dyDescent="0.3">
      <c r="A250" s="1" t="s">
        <v>11</v>
      </c>
      <c r="B250" s="1" t="s">
        <v>9</v>
      </c>
      <c r="C250">
        <v>2024</v>
      </c>
      <c r="D250">
        <v>9</v>
      </c>
      <c r="E250">
        <v>77314.210574097</v>
      </c>
      <c r="F250">
        <v>1957</v>
      </c>
    </row>
    <row r="251" spans="1:6" x14ac:dyDescent="0.3">
      <c r="A251" s="1" t="s">
        <v>11</v>
      </c>
      <c r="B251" s="1" t="s">
        <v>9</v>
      </c>
      <c r="C251">
        <v>2024</v>
      </c>
      <c r="D251">
        <v>10</v>
      </c>
      <c r="E251">
        <v>85277.332582268791</v>
      </c>
      <c r="F251">
        <v>2138</v>
      </c>
    </row>
    <row r="252" spans="1:6" x14ac:dyDescent="0.3">
      <c r="A252" s="1" t="s">
        <v>11</v>
      </c>
      <c r="B252" s="1" t="s">
        <v>9</v>
      </c>
      <c r="C252">
        <v>2024</v>
      </c>
      <c r="D252">
        <v>11</v>
      </c>
      <c r="E252">
        <v>105906.3348584855</v>
      </c>
      <c r="F252">
        <v>2650</v>
      </c>
    </row>
    <row r="253" spans="1:6" x14ac:dyDescent="0.3">
      <c r="A253" s="1" t="s">
        <v>11</v>
      </c>
      <c r="B253" s="1" t="s">
        <v>9</v>
      </c>
      <c r="C253">
        <v>2024</v>
      </c>
      <c r="D253">
        <v>12</v>
      </c>
      <c r="E253">
        <v>116026.8974400461</v>
      </c>
      <c r="F253">
        <v>2895</v>
      </c>
    </row>
    <row r="254" spans="1:6" x14ac:dyDescent="0.3">
      <c r="A254" s="1" t="s">
        <v>11</v>
      </c>
      <c r="B254" s="1" t="s">
        <v>10</v>
      </c>
      <c r="C254">
        <v>2022</v>
      </c>
      <c r="D254">
        <v>1</v>
      </c>
      <c r="E254">
        <v>98317.799352825605</v>
      </c>
      <c r="F254">
        <v>2469</v>
      </c>
    </row>
    <row r="255" spans="1:6" x14ac:dyDescent="0.3">
      <c r="A255" s="1" t="s">
        <v>11</v>
      </c>
      <c r="B255" s="1" t="s">
        <v>10</v>
      </c>
      <c r="C255">
        <v>2022</v>
      </c>
      <c r="D255">
        <v>2</v>
      </c>
      <c r="E255">
        <v>161882.58252183351</v>
      </c>
      <c r="F255">
        <v>3985</v>
      </c>
    </row>
    <row r="256" spans="1:6" x14ac:dyDescent="0.3">
      <c r="A256" s="1" t="s">
        <v>11</v>
      </c>
      <c r="B256" s="1" t="s">
        <v>10</v>
      </c>
      <c r="C256">
        <v>2022</v>
      </c>
      <c r="D256">
        <v>3</v>
      </c>
      <c r="E256">
        <v>127030.2453116924</v>
      </c>
      <c r="F256">
        <v>3077</v>
      </c>
    </row>
    <row r="257" spans="1:6" x14ac:dyDescent="0.3">
      <c r="A257" s="1" t="s">
        <v>11</v>
      </c>
      <c r="B257" s="1" t="s">
        <v>10</v>
      </c>
      <c r="C257">
        <v>2022</v>
      </c>
      <c r="D257">
        <v>4</v>
      </c>
      <c r="E257">
        <v>128875.7542927125</v>
      </c>
      <c r="F257">
        <v>3283</v>
      </c>
    </row>
    <row r="258" spans="1:6" x14ac:dyDescent="0.3">
      <c r="A258" s="1" t="s">
        <v>11</v>
      </c>
      <c r="B258" s="1" t="s">
        <v>10</v>
      </c>
      <c r="C258">
        <v>2022</v>
      </c>
      <c r="D258">
        <v>5</v>
      </c>
      <c r="E258">
        <v>113406.11775572601</v>
      </c>
      <c r="F258">
        <v>2972</v>
      </c>
    </row>
    <row r="259" spans="1:6" x14ac:dyDescent="0.3">
      <c r="A259" s="1" t="s">
        <v>11</v>
      </c>
      <c r="B259" s="1" t="s">
        <v>10</v>
      </c>
      <c r="C259">
        <v>2022</v>
      </c>
      <c r="D259">
        <v>6</v>
      </c>
      <c r="E259">
        <v>116267.91061147311</v>
      </c>
      <c r="F259">
        <v>2876</v>
      </c>
    </row>
    <row r="260" spans="1:6" x14ac:dyDescent="0.3">
      <c r="A260" s="1" t="s">
        <v>11</v>
      </c>
      <c r="B260" s="1" t="s">
        <v>10</v>
      </c>
      <c r="C260">
        <v>2022</v>
      </c>
      <c r="D260">
        <v>7</v>
      </c>
      <c r="E260">
        <v>109360.36235435031</v>
      </c>
      <c r="F260">
        <v>2698</v>
      </c>
    </row>
    <row r="261" spans="1:6" x14ac:dyDescent="0.3">
      <c r="A261" s="1" t="s">
        <v>11</v>
      </c>
      <c r="B261" s="1" t="s">
        <v>10</v>
      </c>
      <c r="C261">
        <v>2022</v>
      </c>
      <c r="D261">
        <v>8</v>
      </c>
      <c r="E261">
        <v>125548.0634765392</v>
      </c>
      <c r="F261">
        <v>3125</v>
      </c>
    </row>
    <row r="262" spans="1:6" x14ac:dyDescent="0.3">
      <c r="A262" s="1" t="s">
        <v>11</v>
      </c>
      <c r="B262" s="1" t="s">
        <v>10</v>
      </c>
      <c r="C262">
        <v>2022</v>
      </c>
      <c r="D262">
        <v>9</v>
      </c>
      <c r="E262">
        <v>121297.17710179</v>
      </c>
      <c r="F262">
        <v>3018</v>
      </c>
    </row>
    <row r="263" spans="1:6" x14ac:dyDescent="0.3">
      <c r="A263" s="1" t="s">
        <v>11</v>
      </c>
      <c r="B263" s="1" t="s">
        <v>10</v>
      </c>
      <c r="C263">
        <v>2022</v>
      </c>
      <c r="D263">
        <v>10</v>
      </c>
      <c r="E263">
        <v>114100.3659083043</v>
      </c>
      <c r="F263">
        <v>2894</v>
      </c>
    </row>
    <row r="264" spans="1:6" x14ac:dyDescent="0.3">
      <c r="A264" s="1" t="s">
        <v>11</v>
      </c>
      <c r="B264" s="1" t="s">
        <v>10</v>
      </c>
      <c r="C264">
        <v>2022</v>
      </c>
      <c r="D264">
        <v>11</v>
      </c>
      <c r="E264">
        <v>107094.0482331058</v>
      </c>
      <c r="F264">
        <v>2696</v>
      </c>
    </row>
    <row r="265" spans="1:6" x14ac:dyDescent="0.3">
      <c r="A265" s="1" t="s">
        <v>11</v>
      </c>
      <c r="B265" s="1" t="s">
        <v>10</v>
      </c>
      <c r="C265">
        <v>2022</v>
      </c>
      <c r="D265">
        <v>12</v>
      </c>
      <c r="E265">
        <v>110630.0577312456</v>
      </c>
      <c r="F265">
        <v>2777</v>
      </c>
    </row>
    <row r="266" spans="1:6" x14ac:dyDescent="0.3">
      <c r="A266" s="1" t="s">
        <v>11</v>
      </c>
      <c r="B266" s="1" t="s">
        <v>10</v>
      </c>
      <c r="C266">
        <v>2023</v>
      </c>
      <c r="D266">
        <v>1</v>
      </c>
      <c r="E266">
        <v>84455.739046039991</v>
      </c>
      <c r="F266">
        <v>2183</v>
      </c>
    </row>
    <row r="267" spans="1:6" x14ac:dyDescent="0.3">
      <c r="A267" s="1" t="s">
        <v>11</v>
      </c>
      <c r="B267" s="1" t="s">
        <v>10</v>
      </c>
      <c r="C267">
        <v>2023</v>
      </c>
      <c r="D267">
        <v>2</v>
      </c>
      <c r="E267">
        <v>120188.2977137556</v>
      </c>
      <c r="F267">
        <v>3040</v>
      </c>
    </row>
    <row r="268" spans="1:6" x14ac:dyDescent="0.3">
      <c r="A268" s="1" t="s">
        <v>11</v>
      </c>
      <c r="B268" s="1" t="s">
        <v>10</v>
      </c>
      <c r="C268">
        <v>2023</v>
      </c>
      <c r="D268">
        <v>3</v>
      </c>
      <c r="E268">
        <v>120542.00519539139</v>
      </c>
      <c r="F268">
        <v>3038</v>
      </c>
    </row>
    <row r="269" spans="1:6" x14ac:dyDescent="0.3">
      <c r="A269" s="1" t="s">
        <v>11</v>
      </c>
      <c r="B269" s="1" t="s">
        <v>10</v>
      </c>
      <c r="C269">
        <v>2023</v>
      </c>
      <c r="D269">
        <v>4</v>
      </c>
      <c r="E269">
        <v>121772.04622836781</v>
      </c>
      <c r="F269">
        <v>3048</v>
      </c>
    </row>
    <row r="270" spans="1:6" x14ac:dyDescent="0.3">
      <c r="A270" s="1" t="s">
        <v>11</v>
      </c>
      <c r="B270" s="1" t="s">
        <v>10</v>
      </c>
      <c r="C270">
        <v>2023</v>
      </c>
      <c r="D270">
        <v>5</v>
      </c>
      <c r="E270">
        <v>166445.77547170132</v>
      </c>
      <c r="F270">
        <v>4087</v>
      </c>
    </row>
    <row r="271" spans="1:6" x14ac:dyDescent="0.3">
      <c r="A271" s="1" t="s">
        <v>11</v>
      </c>
      <c r="B271" s="1" t="s">
        <v>10</v>
      </c>
      <c r="C271">
        <v>2023</v>
      </c>
      <c r="D271">
        <v>6</v>
      </c>
      <c r="E271">
        <v>138716.5292218691</v>
      </c>
      <c r="F271">
        <v>3545</v>
      </c>
    </row>
    <row r="272" spans="1:6" x14ac:dyDescent="0.3">
      <c r="A272" s="1" t="s">
        <v>11</v>
      </c>
      <c r="B272" s="1" t="s">
        <v>10</v>
      </c>
      <c r="C272">
        <v>2023</v>
      </c>
      <c r="D272">
        <v>7</v>
      </c>
      <c r="E272">
        <v>114535.5283952505</v>
      </c>
      <c r="F272">
        <v>2864</v>
      </c>
    </row>
    <row r="273" spans="1:6" x14ac:dyDescent="0.3">
      <c r="A273" s="1" t="s">
        <v>11</v>
      </c>
      <c r="B273" s="1" t="s">
        <v>10</v>
      </c>
      <c r="C273">
        <v>2023</v>
      </c>
      <c r="D273">
        <v>8</v>
      </c>
      <c r="E273">
        <v>112320.94252746641</v>
      </c>
      <c r="F273">
        <v>2869</v>
      </c>
    </row>
    <row r="274" spans="1:6" x14ac:dyDescent="0.3">
      <c r="A274" s="1" t="s">
        <v>11</v>
      </c>
      <c r="B274" s="1" t="s">
        <v>10</v>
      </c>
      <c r="C274">
        <v>2023</v>
      </c>
      <c r="D274">
        <v>9</v>
      </c>
      <c r="E274">
        <v>111013.662353754</v>
      </c>
      <c r="F274">
        <v>2772</v>
      </c>
    </row>
    <row r="275" spans="1:6" x14ac:dyDescent="0.3">
      <c r="A275" s="1" t="s">
        <v>11</v>
      </c>
      <c r="B275" s="1" t="s">
        <v>10</v>
      </c>
      <c r="C275">
        <v>2023</v>
      </c>
      <c r="D275">
        <v>10</v>
      </c>
      <c r="E275">
        <v>104467.0777232722</v>
      </c>
      <c r="F275">
        <v>2550</v>
      </c>
    </row>
    <row r="276" spans="1:6" x14ac:dyDescent="0.3">
      <c r="A276" s="1" t="s">
        <v>11</v>
      </c>
      <c r="B276" s="1" t="s">
        <v>10</v>
      </c>
      <c r="C276">
        <v>2023</v>
      </c>
      <c r="D276">
        <v>11</v>
      </c>
      <c r="E276">
        <v>131601.94296188379</v>
      </c>
      <c r="F276">
        <v>3356</v>
      </c>
    </row>
    <row r="277" spans="1:6" x14ac:dyDescent="0.3">
      <c r="A277" s="1" t="s">
        <v>11</v>
      </c>
      <c r="B277" s="1" t="s">
        <v>10</v>
      </c>
      <c r="C277">
        <v>2023</v>
      </c>
      <c r="D277">
        <v>12</v>
      </c>
      <c r="E277">
        <v>159829.28632721299</v>
      </c>
      <c r="F277">
        <v>3990</v>
      </c>
    </row>
    <row r="278" spans="1:6" x14ac:dyDescent="0.3">
      <c r="A278" s="1" t="s">
        <v>11</v>
      </c>
      <c r="B278" s="1" t="s">
        <v>10</v>
      </c>
      <c r="C278">
        <v>2024</v>
      </c>
      <c r="D278">
        <v>1</v>
      </c>
      <c r="E278">
        <v>132919.08440509532</v>
      </c>
      <c r="F278">
        <v>3375</v>
      </c>
    </row>
    <row r="279" spans="1:6" x14ac:dyDescent="0.3">
      <c r="A279" s="1" t="s">
        <v>11</v>
      </c>
      <c r="B279" s="1" t="s">
        <v>10</v>
      </c>
      <c r="C279">
        <v>2024</v>
      </c>
      <c r="D279">
        <v>2</v>
      </c>
      <c r="E279">
        <v>108407.0796028394</v>
      </c>
      <c r="F279">
        <v>2734</v>
      </c>
    </row>
    <row r="280" spans="1:6" x14ac:dyDescent="0.3">
      <c r="A280" s="1" t="s">
        <v>11</v>
      </c>
      <c r="B280" s="1" t="s">
        <v>10</v>
      </c>
      <c r="C280">
        <v>2024</v>
      </c>
      <c r="D280">
        <v>3</v>
      </c>
      <c r="E280">
        <v>88934.095547152698</v>
      </c>
      <c r="F280">
        <v>2212</v>
      </c>
    </row>
    <row r="281" spans="1:6" x14ac:dyDescent="0.3">
      <c r="A281" s="1" t="s">
        <v>11</v>
      </c>
      <c r="B281" s="1" t="s">
        <v>10</v>
      </c>
      <c r="C281">
        <v>2024</v>
      </c>
      <c r="D281">
        <v>4</v>
      </c>
      <c r="E281">
        <v>98842.225449175603</v>
      </c>
      <c r="F281">
        <v>2430</v>
      </c>
    </row>
    <row r="282" spans="1:6" x14ac:dyDescent="0.3">
      <c r="A282" s="1" t="s">
        <v>11</v>
      </c>
      <c r="B282" s="1" t="s">
        <v>10</v>
      </c>
      <c r="C282">
        <v>2024</v>
      </c>
      <c r="D282">
        <v>5</v>
      </c>
      <c r="E282">
        <v>137231.6364394725</v>
      </c>
      <c r="F282">
        <v>3351</v>
      </c>
    </row>
    <row r="283" spans="1:6" x14ac:dyDescent="0.3">
      <c r="A283" s="1" t="s">
        <v>11</v>
      </c>
      <c r="B283" s="1" t="s">
        <v>10</v>
      </c>
      <c r="C283">
        <v>2024</v>
      </c>
      <c r="D283">
        <v>6</v>
      </c>
      <c r="E283">
        <v>117005.9303179923</v>
      </c>
      <c r="F283">
        <v>2982</v>
      </c>
    </row>
    <row r="284" spans="1:6" x14ac:dyDescent="0.3">
      <c r="A284" s="1" t="s">
        <v>11</v>
      </c>
      <c r="B284" s="1" t="s">
        <v>10</v>
      </c>
      <c r="C284">
        <v>2024</v>
      </c>
      <c r="D284">
        <v>7</v>
      </c>
      <c r="E284">
        <v>94633.815630732104</v>
      </c>
      <c r="F284">
        <v>2407</v>
      </c>
    </row>
    <row r="285" spans="1:6" x14ac:dyDescent="0.3">
      <c r="A285" s="1" t="s">
        <v>11</v>
      </c>
      <c r="B285" s="1" t="s">
        <v>10</v>
      </c>
      <c r="C285">
        <v>2024</v>
      </c>
      <c r="D285">
        <v>8</v>
      </c>
      <c r="E285">
        <v>110484.7211210448</v>
      </c>
      <c r="F285">
        <v>2754</v>
      </c>
    </row>
    <row r="286" spans="1:6" x14ac:dyDescent="0.3">
      <c r="A286" s="1" t="s">
        <v>11</v>
      </c>
      <c r="B286" s="1" t="s">
        <v>10</v>
      </c>
      <c r="C286">
        <v>2024</v>
      </c>
      <c r="D286">
        <v>9</v>
      </c>
      <c r="E286">
        <v>130578.4332097396</v>
      </c>
      <c r="F286">
        <v>3218</v>
      </c>
    </row>
    <row r="287" spans="1:6" x14ac:dyDescent="0.3">
      <c r="A287" s="1" t="s">
        <v>11</v>
      </c>
      <c r="B287" s="1" t="s">
        <v>10</v>
      </c>
      <c r="C287">
        <v>2024</v>
      </c>
      <c r="D287">
        <v>10</v>
      </c>
      <c r="E287">
        <v>121439.5215027528</v>
      </c>
      <c r="F287">
        <v>2983</v>
      </c>
    </row>
    <row r="288" spans="1:6" x14ac:dyDescent="0.3">
      <c r="A288" s="1" t="s">
        <v>11</v>
      </c>
      <c r="B288" s="1" t="s">
        <v>10</v>
      </c>
      <c r="C288">
        <v>2024</v>
      </c>
      <c r="D288">
        <v>11</v>
      </c>
      <c r="E288">
        <v>121897.116380943</v>
      </c>
      <c r="F288">
        <v>3078</v>
      </c>
    </row>
    <row r="289" spans="1:6" x14ac:dyDescent="0.3">
      <c r="A289" s="1" t="s">
        <v>11</v>
      </c>
      <c r="B289" s="1" t="s">
        <v>10</v>
      </c>
      <c r="C289">
        <v>2024</v>
      </c>
      <c r="D289">
        <v>12</v>
      </c>
      <c r="E289">
        <v>105500.9060507993</v>
      </c>
      <c r="F289">
        <v>2718</v>
      </c>
    </row>
    <row r="290" spans="1:6" x14ac:dyDescent="0.3">
      <c r="A290" s="1" t="s">
        <v>12</v>
      </c>
      <c r="B290" s="1" t="s">
        <v>7</v>
      </c>
      <c r="C290">
        <v>2022</v>
      </c>
      <c r="D290">
        <v>1</v>
      </c>
      <c r="E290">
        <v>76378.111957881803</v>
      </c>
      <c r="F290">
        <v>2238</v>
      </c>
    </row>
    <row r="291" spans="1:6" x14ac:dyDescent="0.3">
      <c r="A291" s="1" t="s">
        <v>12</v>
      </c>
      <c r="B291" s="1" t="s">
        <v>7</v>
      </c>
      <c r="C291">
        <v>2022</v>
      </c>
      <c r="D291">
        <v>2</v>
      </c>
      <c r="E291">
        <v>85494.386797870407</v>
      </c>
      <c r="F291">
        <v>2506</v>
      </c>
    </row>
    <row r="292" spans="1:6" x14ac:dyDescent="0.3">
      <c r="A292" s="1" t="s">
        <v>12</v>
      </c>
      <c r="B292" s="1" t="s">
        <v>7</v>
      </c>
      <c r="C292">
        <v>2022</v>
      </c>
      <c r="D292">
        <v>3</v>
      </c>
      <c r="E292">
        <v>76763.707784763101</v>
      </c>
      <c r="F292">
        <v>2138</v>
      </c>
    </row>
    <row r="293" spans="1:6" x14ac:dyDescent="0.3">
      <c r="A293" s="1" t="s">
        <v>12</v>
      </c>
      <c r="B293" s="1" t="s">
        <v>7</v>
      </c>
      <c r="C293">
        <v>2022</v>
      </c>
      <c r="D293">
        <v>4</v>
      </c>
      <c r="E293">
        <v>108471.95516383389</v>
      </c>
      <c r="F293">
        <v>3171</v>
      </c>
    </row>
    <row r="294" spans="1:6" x14ac:dyDescent="0.3">
      <c r="A294" s="1" t="s">
        <v>12</v>
      </c>
      <c r="B294" s="1" t="s">
        <v>7</v>
      </c>
      <c r="C294">
        <v>2022</v>
      </c>
      <c r="D294">
        <v>5</v>
      </c>
      <c r="E294">
        <v>102605.53523444039</v>
      </c>
      <c r="F294">
        <v>2834</v>
      </c>
    </row>
    <row r="295" spans="1:6" x14ac:dyDescent="0.3">
      <c r="A295" s="1" t="s">
        <v>12</v>
      </c>
      <c r="B295" s="1" t="s">
        <v>7</v>
      </c>
      <c r="C295">
        <v>2022</v>
      </c>
      <c r="D295">
        <v>6</v>
      </c>
      <c r="E295">
        <v>94762.203859230402</v>
      </c>
      <c r="F295">
        <v>2632</v>
      </c>
    </row>
    <row r="296" spans="1:6" x14ac:dyDescent="0.3">
      <c r="A296" s="1" t="s">
        <v>12</v>
      </c>
      <c r="B296" s="1" t="s">
        <v>7</v>
      </c>
      <c r="C296">
        <v>2022</v>
      </c>
      <c r="D296">
        <v>7</v>
      </c>
      <c r="E296">
        <v>71088.041372244305</v>
      </c>
      <c r="F296">
        <v>2057</v>
      </c>
    </row>
    <row r="297" spans="1:6" x14ac:dyDescent="0.3">
      <c r="A297" s="1" t="s">
        <v>12</v>
      </c>
      <c r="B297" s="1" t="s">
        <v>7</v>
      </c>
      <c r="C297">
        <v>2022</v>
      </c>
      <c r="D297">
        <v>8</v>
      </c>
      <c r="E297">
        <v>66986.114629795396</v>
      </c>
      <c r="F297">
        <v>1880</v>
      </c>
    </row>
    <row r="298" spans="1:6" x14ac:dyDescent="0.3">
      <c r="A298" s="1" t="s">
        <v>12</v>
      </c>
      <c r="B298" s="1" t="s">
        <v>7</v>
      </c>
      <c r="C298">
        <v>2022</v>
      </c>
      <c r="D298">
        <v>9</v>
      </c>
      <c r="E298">
        <v>83632.431476949205</v>
      </c>
      <c r="F298">
        <v>2358</v>
      </c>
    </row>
    <row r="299" spans="1:6" x14ac:dyDescent="0.3">
      <c r="A299" s="1" t="s">
        <v>12</v>
      </c>
      <c r="B299" s="1" t="s">
        <v>7</v>
      </c>
      <c r="C299">
        <v>2022</v>
      </c>
      <c r="D299">
        <v>10</v>
      </c>
      <c r="E299">
        <v>83555.677872447195</v>
      </c>
      <c r="F299">
        <v>2312</v>
      </c>
    </row>
    <row r="300" spans="1:6" x14ac:dyDescent="0.3">
      <c r="A300" s="1" t="s">
        <v>12</v>
      </c>
      <c r="B300" s="1" t="s">
        <v>7</v>
      </c>
      <c r="C300">
        <v>2022</v>
      </c>
      <c r="D300">
        <v>11</v>
      </c>
      <c r="E300">
        <v>98983.161016282596</v>
      </c>
      <c r="F300">
        <v>2880</v>
      </c>
    </row>
    <row r="301" spans="1:6" x14ac:dyDescent="0.3">
      <c r="A301" s="1" t="s">
        <v>12</v>
      </c>
      <c r="B301" s="1" t="s">
        <v>7</v>
      </c>
      <c r="C301">
        <v>2022</v>
      </c>
      <c r="D301">
        <v>12</v>
      </c>
      <c r="E301">
        <v>86540.240463498805</v>
      </c>
      <c r="F301">
        <v>2534</v>
      </c>
    </row>
    <row r="302" spans="1:6" x14ac:dyDescent="0.3">
      <c r="A302" s="1" t="s">
        <v>12</v>
      </c>
      <c r="B302" s="1" t="s">
        <v>7</v>
      </c>
      <c r="C302">
        <v>2023</v>
      </c>
      <c r="D302">
        <v>1</v>
      </c>
      <c r="E302">
        <v>75991.4025326665</v>
      </c>
      <c r="F302">
        <v>2129</v>
      </c>
    </row>
    <row r="303" spans="1:6" x14ac:dyDescent="0.3">
      <c r="A303" s="1" t="s">
        <v>12</v>
      </c>
      <c r="B303" s="1" t="s">
        <v>7</v>
      </c>
      <c r="C303">
        <v>2023</v>
      </c>
      <c r="D303">
        <v>2</v>
      </c>
      <c r="E303">
        <v>78736.817019596594</v>
      </c>
      <c r="F303">
        <v>2320</v>
      </c>
    </row>
    <row r="304" spans="1:6" x14ac:dyDescent="0.3">
      <c r="A304" s="1" t="s">
        <v>12</v>
      </c>
      <c r="B304" s="1" t="s">
        <v>7</v>
      </c>
      <c r="C304">
        <v>2023</v>
      </c>
      <c r="D304">
        <v>3</v>
      </c>
      <c r="E304">
        <v>99369.698665241609</v>
      </c>
      <c r="F304">
        <v>2783</v>
      </c>
    </row>
    <row r="305" spans="1:6" x14ac:dyDescent="0.3">
      <c r="A305" s="1" t="s">
        <v>12</v>
      </c>
      <c r="B305" s="1" t="s">
        <v>7</v>
      </c>
      <c r="C305">
        <v>2023</v>
      </c>
      <c r="D305">
        <v>4</v>
      </c>
      <c r="E305">
        <v>70974.981426505692</v>
      </c>
      <c r="F305">
        <v>2029</v>
      </c>
    </row>
    <row r="306" spans="1:6" x14ac:dyDescent="0.3">
      <c r="A306" s="1" t="s">
        <v>12</v>
      </c>
      <c r="B306" s="1" t="s">
        <v>7</v>
      </c>
      <c r="C306">
        <v>2023</v>
      </c>
      <c r="D306">
        <v>5</v>
      </c>
      <c r="E306">
        <v>84500.020365080301</v>
      </c>
      <c r="F306">
        <v>2404</v>
      </c>
    </row>
    <row r="307" spans="1:6" x14ac:dyDescent="0.3">
      <c r="A307" s="1" t="s">
        <v>12</v>
      </c>
      <c r="B307" s="1" t="s">
        <v>7</v>
      </c>
      <c r="C307">
        <v>2023</v>
      </c>
      <c r="D307">
        <v>6</v>
      </c>
      <c r="E307">
        <v>101445.68916868771</v>
      </c>
      <c r="F307">
        <v>2885</v>
      </c>
    </row>
    <row r="308" spans="1:6" x14ac:dyDescent="0.3">
      <c r="A308" s="1" t="s">
        <v>12</v>
      </c>
      <c r="B308" s="1" t="s">
        <v>7</v>
      </c>
      <c r="C308">
        <v>2023</v>
      </c>
      <c r="D308">
        <v>7</v>
      </c>
      <c r="E308">
        <v>101063.2681236271</v>
      </c>
      <c r="F308">
        <v>2872</v>
      </c>
    </row>
    <row r="309" spans="1:6" x14ac:dyDescent="0.3">
      <c r="A309" s="1" t="s">
        <v>12</v>
      </c>
      <c r="B309" s="1" t="s">
        <v>7</v>
      </c>
      <c r="C309">
        <v>2023</v>
      </c>
      <c r="D309">
        <v>8</v>
      </c>
      <c r="E309">
        <v>68335.498180014998</v>
      </c>
      <c r="F309">
        <v>1939</v>
      </c>
    </row>
    <row r="310" spans="1:6" x14ac:dyDescent="0.3">
      <c r="A310" s="1" t="s">
        <v>12</v>
      </c>
      <c r="B310" s="1" t="s">
        <v>7</v>
      </c>
      <c r="C310">
        <v>2023</v>
      </c>
      <c r="D310">
        <v>9</v>
      </c>
      <c r="E310">
        <v>80706.730991780409</v>
      </c>
      <c r="F310">
        <v>2339</v>
      </c>
    </row>
    <row r="311" spans="1:6" x14ac:dyDescent="0.3">
      <c r="A311" s="1" t="s">
        <v>12</v>
      </c>
      <c r="B311" s="1" t="s">
        <v>7</v>
      </c>
      <c r="C311">
        <v>2023</v>
      </c>
      <c r="D311">
        <v>10</v>
      </c>
      <c r="E311">
        <v>86625.04423022471</v>
      </c>
      <c r="F311">
        <v>2553</v>
      </c>
    </row>
    <row r="312" spans="1:6" x14ac:dyDescent="0.3">
      <c r="A312" s="1" t="s">
        <v>12</v>
      </c>
      <c r="B312" s="1" t="s">
        <v>7</v>
      </c>
      <c r="C312">
        <v>2023</v>
      </c>
      <c r="D312">
        <v>11</v>
      </c>
      <c r="E312">
        <v>89160.7898881976</v>
      </c>
      <c r="F312">
        <v>2504</v>
      </c>
    </row>
    <row r="313" spans="1:6" x14ac:dyDescent="0.3">
      <c r="A313" s="1" t="s">
        <v>12</v>
      </c>
      <c r="B313" s="1" t="s">
        <v>7</v>
      </c>
      <c r="C313">
        <v>2023</v>
      </c>
      <c r="D313">
        <v>12</v>
      </c>
      <c r="E313">
        <v>98569.151878815697</v>
      </c>
      <c r="F313">
        <v>2841</v>
      </c>
    </row>
    <row r="314" spans="1:6" x14ac:dyDescent="0.3">
      <c r="A314" s="1" t="s">
        <v>12</v>
      </c>
      <c r="B314" s="1" t="s">
        <v>7</v>
      </c>
      <c r="C314">
        <v>2024</v>
      </c>
      <c r="D314">
        <v>1</v>
      </c>
      <c r="E314">
        <v>86937.343538186295</v>
      </c>
      <c r="F314">
        <v>2510</v>
      </c>
    </row>
    <row r="315" spans="1:6" x14ac:dyDescent="0.3">
      <c r="A315" s="1" t="s">
        <v>12</v>
      </c>
      <c r="B315" s="1" t="s">
        <v>7</v>
      </c>
      <c r="C315">
        <v>2024</v>
      </c>
      <c r="D315">
        <v>2</v>
      </c>
      <c r="E315">
        <v>108965.7499295486</v>
      </c>
      <c r="F315">
        <v>3154</v>
      </c>
    </row>
    <row r="316" spans="1:6" x14ac:dyDescent="0.3">
      <c r="A316" s="1" t="s">
        <v>12</v>
      </c>
      <c r="B316" s="1" t="s">
        <v>7</v>
      </c>
      <c r="C316">
        <v>2024</v>
      </c>
      <c r="D316">
        <v>3</v>
      </c>
      <c r="E316">
        <v>89208.076989102599</v>
      </c>
      <c r="F316">
        <v>2512</v>
      </c>
    </row>
    <row r="317" spans="1:6" x14ac:dyDescent="0.3">
      <c r="A317" s="1" t="s">
        <v>12</v>
      </c>
      <c r="B317" s="1" t="s">
        <v>7</v>
      </c>
      <c r="C317">
        <v>2024</v>
      </c>
      <c r="D317">
        <v>4</v>
      </c>
      <c r="E317">
        <v>92956.177518088502</v>
      </c>
      <c r="F317">
        <v>2720</v>
      </c>
    </row>
    <row r="318" spans="1:6" x14ac:dyDescent="0.3">
      <c r="A318" s="1" t="s">
        <v>12</v>
      </c>
      <c r="B318" s="1" t="s">
        <v>7</v>
      </c>
      <c r="C318">
        <v>2024</v>
      </c>
      <c r="D318">
        <v>5</v>
      </c>
      <c r="E318">
        <v>106064.86340561451</v>
      </c>
      <c r="F318">
        <v>2998</v>
      </c>
    </row>
    <row r="319" spans="1:6" x14ac:dyDescent="0.3">
      <c r="A319" s="1" t="s">
        <v>12</v>
      </c>
      <c r="B319" s="1" t="s">
        <v>7</v>
      </c>
      <c r="C319">
        <v>2024</v>
      </c>
      <c r="D319">
        <v>6</v>
      </c>
      <c r="E319">
        <v>101180.4138200524</v>
      </c>
      <c r="F319">
        <v>2889</v>
      </c>
    </row>
    <row r="320" spans="1:6" x14ac:dyDescent="0.3">
      <c r="A320" s="1" t="s">
        <v>12</v>
      </c>
      <c r="B320" s="1" t="s">
        <v>7</v>
      </c>
      <c r="C320">
        <v>2024</v>
      </c>
      <c r="D320">
        <v>7</v>
      </c>
      <c r="E320">
        <v>71355.203165172104</v>
      </c>
      <c r="F320">
        <v>2009</v>
      </c>
    </row>
    <row r="321" spans="1:6" x14ac:dyDescent="0.3">
      <c r="A321" s="1" t="s">
        <v>12</v>
      </c>
      <c r="B321" s="1" t="s">
        <v>7</v>
      </c>
      <c r="C321">
        <v>2024</v>
      </c>
      <c r="D321">
        <v>8</v>
      </c>
      <c r="E321">
        <v>76961.406006118501</v>
      </c>
      <c r="F321">
        <v>2262</v>
      </c>
    </row>
    <row r="322" spans="1:6" x14ac:dyDescent="0.3">
      <c r="A322" s="1" t="s">
        <v>12</v>
      </c>
      <c r="B322" s="1" t="s">
        <v>7</v>
      </c>
      <c r="C322">
        <v>2024</v>
      </c>
      <c r="D322">
        <v>9</v>
      </c>
      <c r="E322">
        <v>89438.380282235099</v>
      </c>
      <c r="F322">
        <v>2602</v>
      </c>
    </row>
    <row r="323" spans="1:6" x14ac:dyDescent="0.3">
      <c r="A323" s="1" t="s">
        <v>12</v>
      </c>
      <c r="B323" s="1" t="s">
        <v>7</v>
      </c>
      <c r="C323">
        <v>2024</v>
      </c>
      <c r="D323">
        <v>10</v>
      </c>
      <c r="E323">
        <v>106605.3890188659</v>
      </c>
      <c r="F323">
        <v>2909</v>
      </c>
    </row>
    <row r="324" spans="1:6" x14ac:dyDescent="0.3">
      <c r="A324" s="1" t="s">
        <v>12</v>
      </c>
      <c r="B324" s="1" t="s">
        <v>7</v>
      </c>
      <c r="C324">
        <v>2024</v>
      </c>
      <c r="D324">
        <v>11</v>
      </c>
      <c r="E324">
        <v>90935.512496352196</v>
      </c>
      <c r="F324">
        <v>2513</v>
      </c>
    </row>
    <row r="325" spans="1:6" x14ac:dyDescent="0.3">
      <c r="A325" s="1" t="s">
        <v>12</v>
      </c>
      <c r="B325" s="1" t="s">
        <v>7</v>
      </c>
      <c r="C325">
        <v>2024</v>
      </c>
      <c r="D325">
        <v>12</v>
      </c>
      <c r="E325">
        <v>101487.0237837958</v>
      </c>
      <c r="F325">
        <v>2934</v>
      </c>
    </row>
    <row r="326" spans="1:6" x14ac:dyDescent="0.3">
      <c r="A326" s="1" t="s">
        <v>12</v>
      </c>
      <c r="B326" s="1" t="s">
        <v>8</v>
      </c>
      <c r="C326">
        <v>2022</v>
      </c>
      <c r="D326">
        <v>1</v>
      </c>
      <c r="E326">
        <v>102771.4276012046</v>
      </c>
      <c r="F326">
        <v>2879</v>
      </c>
    </row>
    <row r="327" spans="1:6" x14ac:dyDescent="0.3">
      <c r="A327" s="1" t="s">
        <v>12</v>
      </c>
      <c r="B327" s="1" t="s">
        <v>8</v>
      </c>
      <c r="C327">
        <v>2022</v>
      </c>
      <c r="D327">
        <v>2</v>
      </c>
      <c r="E327">
        <v>100473.6603417509</v>
      </c>
      <c r="F327">
        <v>2926</v>
      </c>
    </row>
    <row r="328" spans="1:6" x14ac:dyDescent="0.3">
      <c r="A328" s="1" t="s">
        <v>12</v>
      </c>
      <c r="B328" s="1" t="s">
        <v>8</v>
      </c>
      <c r="C328">
        <v>2022</v>
      </c>
      <c r="D328">
        <v>3</v>
      </c>
      <c r="E328">
        <v>67710.043826372203</v>
      </c>
      <c r="F328">
        <v>1961</v>
      </c>
    </row>
    <row r="329" spans="1:6" x14ac:dyDescent="0.3">
      <c r="A329" s="1" t="s">
        <v>12</v>
      </c>
      <c r="B329" s="1" t="s">
        <v>8</v>
      </c>
      <c r="C329">
        <v>2022</v>
      </c>
      <c r="D329">
        <v>4</v>
      </c>
      <c r="E329">
        <v>134824.93410104129</v>
      </c>
      <c r="F329">
        <v>3755</v>
      </c>
    </row>
    <row r="330" spans="1:6" x14ac:dyDescent="0.3">
      <c r="A330" s="1" t="s">
        <v>12</v>
      </c>
      <c r="B330" s="1" t="s">
        <v>8</v>
      </c>
      <c r="C330">
        <v>2022</v>
      </c>
      <c r="D330">
        <v>5</v>
      </c>
      <c r="E330">
        <v>110976.3713691529</v>
      </c>
      <c r="F330">
        <v>3225</v>
      </c>
    </row>
    <row r="331" spans="1:6" x14ac:dyDescent="0.3">
      <c r="A331" s="1" t="s">
        <v>12</v>
      </c>
      <c r="B331" s="1" t="s">
        <v>8</v>
      </c>
      <c r="C331">
        <v>2022</v>
      </c>
      <c r="D331">
        <v>6</v>
      </c>
      <c r="E331">
        <v>96654.596768923191</v>
      </c>
      <c r="F331">
        <v>2665</v>
      </c>
    </row>
    <row r="332" spans="1:6" x14ac:dyDescent="0.3">
      <c r="A332" s="1" t="s">
        <v>12</v>
      </c>
      <c r="B332" s="1" t="s">
        <v>8</v>
      </c>
      <c r="C332">
        <v>2022</v>
      </c>
      <c r="D332">
        <v>7</v>
      </c>
      <c r="E332">
        <v>92047.800708060589</v>
      </c>
      <c r="F332">
        <v>2565</v>
      </c>
    </row>
    <row r="333" spans="1:6" x14ac:dyDescent="0.3">
      <c r="A333" s="1" t="s">
        <v>12</v>
      </c>
      <c r="B333" s="1" t="s">
        <v>8</v>
      </c>
      <c r="C333">
        <v>2022</v>
      </c>
      <c r="D333">
        <v>8</v>
      </c>
      <c r="E333">
        <v>114071.7957901293</v>
      </c>
      <c r="F333">
        <v>3204</v>
      </c>
    </row>
    <row r="334" spans="1:6" x14ac:dyDescent="0.3">
      <c r="A334" s="1" t="s">
        <v>12</v>
      </c>
      <c r="B334" s="1" t="s">
        <v>8</v>
      </c>
      <c r="C334">
        <v>2022</v>
      </c>
      <c r="D334">
        <v>9</v>
      </c>
      <c r="E334">
        <v>99888.955619729793</v>
      </c>
      <c r="F334">
        <v>2824</v>
      </c>
    </row>
    <row r="335" spans="1:6" x14ac:dyDescent="0.3">
      <c r="A335" s="1" t="s">
        <v>12</v>
      </c>
      <c r="B335" s="1" t="s">
        <v>8</v>
      </c>
      <c r="C335">
        <v>2022</v>
      </c>
      <c r="D335">
        <v>10</v>
      </c>
      <c r="E335">
        <v>93095.292486840102</v>
      </c>
      <c r="F335">
        <v>2696</v>
      </c>
    </row>
    <row r="336" spans="1:6" x14ac:dyDescent="0.3">
      <c r="A336" s="1" t="s">
        <v>12</v>
      </c>
      <c r="B336" s="1" t="s">
        <v>8</v>
      </c>
      <c r="C336">
        <v>2022</v>
      </c>
      <c r="D336">
        <v>11</v>
      </c>
      <c r="E336">
        <v>104425.5858986137</v>
      </c>
      <c r="F336">
        <v>2967</v>
      </c>
    </row>
    <row r="337" spans="1:6" x14ac:dyDescent="0.3">
      <c r="A337" s="1" t="s">
        <v>12</v>
      </c>
      <c r="B337" s="1" t="s">
        <v>8</v>
      </c>
      <c r="C337">
        <v>2022</v>
      </c>
      <c r="D337">
        <v>12</v>
      </c>
      <c r="E337">
        <v>90653.401754532199</v>
      </c>
      <c r="F337">
        <v>2674</v>
      </c>
    </row>
    <row r="338" spans="1:6" x14ac:dyDescent="0.3">
      <c r="A338" s="1" t="s">
        <v>12</v>
      </c>
      <c r="B338" s="1" t="s">
        <v>8</v>
      </c>
      <c r="C338">
        <v>2023</v>
      </c>
      <c r="D338">
        <v>1</v>
      </c>
      <c r="E338">
        <v>94212.257272431889</v>
      </c>
      <c r="F338">
        <v>2735</v>
      </c>
    </row>
    <row r="339" spans="1:6" x14ac:dyDescent="0.3">
      <c r="A339" s="1" t="s">
        <v>12</v>
      </c>
      <c r="B339" s="1" t="s">
        <v>8</v>
      </c>
      <c r="C339">
        <v>2023</v>
      </c>
      <c r="D339">
        <v>2</v>
      </c>
      <c r="E339">
        <v>104486.64356574239</v>
      </c>
      <c r="F339">
        <v>2958</v>
      </c>
    </row>
    <row r="340" spans="1:6" x14ac:dyDescent="0.3">
      <c r="A340" s="1" t="s">
        <v>12</v>
      </c>
      <c r="B340" s="1" t="s">
        <v>8</v>
      </c>
      <c r="C340">
        <v>2023</v>
      </c>
      <c r="D340">
        <v>3</v>
      </c>
      <c r="E340">
        <v>127451.7013010822</v>
      </c>
      <c r="F340">
        <v>3647</v>
      </c>
    </row>
    <row r="341" spans="1:6" x14ac:dyDescent="0.3">
      <c r="A341" s="1" t="s">
        <v>12</v>
      </c>
      <c r="B341" s="1" t="s">
        <v>8</v>
      </c>
      <c r="C341">
        <v>2023</v>
      </c>
      <c r="D341">
        <v>4</v>
      </c>
      <c r="E341">
        <v>128860.9121147891</v>
      </c>
      <c r="F341">
        <v>3618</v>
      </c>
    </row>
    <row r="342" spans="1:6" x14ac:dyDescent="0.3">
      <c r="A342" s="1" t="s">
        <v>12</v>
      </c>
      <c r="B342" s="1" t="s">
        <v>8</v>
      </c>
      <c r="C342">
        <v>2023</v>
      </c>
      <c r="D342">
        <v>5</v>
      </c>
      <c r="E342">
        <v>88043.492796512292</v>
      </c>
      <c r="F342">
        <v>2494</v>
      </c>
    </row>
    <row r="343" spans="1:6" x14ac:dyDescent="0.3">
      <c r="A343" s="1" t="s">
        <v>12</v>
      </c>
      <c r="B343" s="1" t="s">
        <v>8</v>
      </c>
      <c r="C343">
        <v>2023</v>
      </c>
      <c r="D343">
        <v>6</v>
      </c>
      <c r="E343">
        <v>135566.9805094389</v>
      </c>
      <c r="F343">
        <v>3788</v>
      </c>
    </row>
    <row r="344" spans="1:6" x14ac:dyDescent="0.3">
      <c r="A344" s="1" t="s">
        <v>12</v>
      </c>
      <c r="B344" s="1" t="s">
        <v>8</v>
      </c>
      <c r="C344">
        <v>2023</v>
      </c>
      <c r="D344">
        <v>7</v>
      </c>
      <c r="E344">
        <v>121232.69201745201</v>
      </c>
      <c r="F344">
        <v>3526</v>
      </c>
    </row>
    <row r="345" spans="1:6" x14ac:dyDescent="0.3">
      <c r="A345" s="1" t="s">
        <v>12</v>
      </c>
      <c r="B345" s="1" t="s">
        <v>8</v>
      </c>
      <c r="C345">
        <v>2023</v>
      </c>
      <c r="D345">
        <v>8</v>
      </c>
      <c r="E345">
        <v>93590.308208652903</v>
      </c>
      <c r="F345">
        <v>2652</v>
      </c>
    </row>
    <row r="346" spans="1:6" x14ac:dyDescent="0.3">
      <c r="A346" s="1" t="s">
        <v>12</v>
      </c>
      <c r="B346" s="1" t="s">
        <v>8</v>
      </c>
      <c r="C346">
        <v>2023</v>
      </c>
      <c r="D346">
        <v>9</v>
      </c>
      <c r="E346">
        <v>94331.012286897108</v>
      </c>
      <c r="F346">
        <v>2752</v>
      </c>
    </row>
    <row r="347" spans="1:6" x14ac:dyDescent="0.3">
      <c r="A347" s="1" t="s">
        <v>12</v>
      </c>
      <c r="B347" s="1" t="s">
        <v>8</v>
      </c>
      <c r="C347">
        <v>2023</v>
      </c>
      <c r="D347">
        <v>10</v>
      </c>
      <c r="E347">
        <v>121242.60119540201</v>
      </c>
      <c r="F347">
        <v>3356</v>
      </c>
    </row>
    <row r="348" spans="1:6" x14ac:dyDescent="0.3">
      <c r="A348" s="1" t="s">
        <v>12</v>
      </c>
      <c r="B348" s="1" t="s">
        <v>8</v>
      </c>
      <c r="C348">
        <v>2023</v>
      </c>
      <c r="D348">
        <v>11</v>
      </c>
      <c r="E348">
        <v>123662.4114437097</v>
      </c>
      <c r="F348">
        <v>3420</v>
      </c>
    </row>
    <row r="349" spans="1:6" x14ac:dyDescent="0.3">
      <c r="A349" s="1" t="s">
        <v>12</v>
      </c>
      <c r="B349" s="1" t="s">
        <v>8</v>
      </c>
      <c r="C349">
        <v>2023</v>
      </c>
      <c r="D349">
        <v>12</v>
      </c>
      <c r="E349">
        <v>106135.8131417862</v>
      </c>
      <c r="F349">
        <v>3060</v>
      </c>
    </row>
    <row r="350" spans="1:6" x14ac:dyDescent="0.3">
      <c r="A350" s="1" t="s">
        <v>12</v>
      </c>
      <c r="B350" s="1" t="s">
        <v>8</v>
      </c>
      <c r="C350">
        <v>2024</v>
      </c>
      <c r="D350">
        <v>1</v>
      </c>
      <c r="E350">
        <v>142242.238361002</v>
      </c>
      <c r="F350">
        <v>4018</v>
      </c>
    </row>
    <row r="351" spans="1:6" x14ac:dyDescent="0.3">
      <c r="A351" s="1" t="s">
        <v>12</v>
      </c>
      <c r="B351" s="1" t="s">
        <v>8</v>
      </c>
      <c r="C351">
        <v>2024</v>
      </c>
      <c r="D351">
        <v>2</v>
      </c>
      <c r="E351">
        <v>114751.1992809262</v>
      </c>
      <c r="F351">
        <v>3251</v>
      </c>
    </row>
    <row r="352" spans="1:6" x14ac:dyDescent="0.3">
      <c r="A352" s="1" t="s">
        <v>12</v>
      </c>
      <c r="B352" s="1" t="s">
        <v>8</v>
      </c>
      <c r="C352">
        <v>2024</v>
      </c>
      <c r="D352">
        <v>3</v>
      </c>
      <c r="E352">
        <v>106949.25842199341</v>
      </c>
      <c r="F352">
        <v>3129</v>
      </c>
    </row>
    <row r="353" spans="1:6" x14ac:dyDescent="0.3">
      <c r="A353" s="1" t="s">
        <v>12</v>
      </c>
      <c r="B353" s="1" t="s">
        <v>8</v>
      </c>
      <c r="C353">
        <v>2024</v>
      </c>
      <c r="D353">
        <v>4</v>
      </c>
      <c r="E353">
        <v>103848.45824410749</v>
      </c>
      <c r="F353">
        <v>2909</v>
      </c>
    </row>
    <row r="354" spans="1:6" x14ac:dyDescent="0.3">
      <c r="A354" s="1" t="s">
        <v>12</v>
      </c>
      <c r="B354" s="1" t="s">
        <v>8</v>
      </c>
      <c r="C354">
        <v>2024</v>
      </c>
      <c r="D354">
        <v>5</v>
      </c>
      <c r="E354">
        <v>107926.954827683</v>
      </c>
      <c r="F354">
        <v>3031</v>
      </c>
    </row>
    <row r="355" spans="1:6" x14ac:dyDescent="0.3">
      <c r="A355" s="1" t="s">
        <v>12</v>
      </c>
      <c r="B355" s="1" t="s">
        <v>8</v>
      </c>
      <c r="C355">
        <v>2024</v>
      </c>
      <c r="D355">
        <v>6</v>
      </c>
      <c r="E355">
        <v>114407.7621209535</v>
      </c>
      <c r="F355">
        <v>3229</v>
      </c>
    </row>
    <row r="356" spans="1:6" x14ac:dyDescent="0.3">
      <c r="A356" s="1" t="s">
        <v>12</v>
      </c>
      <c r="B356" s="1" t="s">
        <v>8</v>
      </c>
      <c r="C356">
        <v>2024</v>
      </c>
      <c r="D356">
        <v>7</v>
      </c>
      <c r="E356">
        <v>109969.6192298972</v>
      </c>
      <c r="F356">
        <v>3100</v>
      </c>
    </row>
    <row r="357" spans="1:6" x14ac:dyDescent="0.3">
      <c r="A357" s="1" t="s">
        <v>12</v>
      </c>
      <c r="B357" s="1" t="s">
        <v>8</v>
      </c>
      <c r="C357">
        <v>2024</v>
      </c>
      <c r="D357">
        <v>8</v>
      </c>
      <c r="E357">
        <v>80918.236504400003</v>
      </c>
      <c r="F357">
        <v>2391</v>
      </c>
    </row>
    <row r="358" spans="1:6" x14ac:dyDescent="0.3">
      <c r="A358" s="1" t="s">
        <v>12</v>
      </c>
      <c r="B358" s="1" t="s">
        <v>8</v>
      </c>
      <c r="C358">
        <v>2024</v>
      </c>
      <c r="D358">
        <v>9</v>
      </c>
      <c r="E358">
        <v>85401.186953025303</v>
      </c>
      <c r="F358">
        <v>2447</v>
      </c>
    </row>
    <row r="359" spans="1:6" x14ac:dyDescent="0.3">
      <c r="A359" s="1" t="s">
        <v>12</v>
      </c>
      <c r="B359" s="1" t="s">
        <v>8</v>
      </c>
      <c r="C359">
        <v>2024</v>
      </c>
      <c r="D359">
        <v>10</v>
      </c>
      <c r="E359">
        <v>123455.4195250289</v>
      </c>
      <c r="F359">
        <v>3578</v>
      </c>
    </row>
    <row r="360" spans="1:6" x14ac:dyDescent="0.3">
      <c r="A360" s="1" t="s">
        <v>12</v>
      </c>
      <c r="B360" s="1" t="s">
        <v>8</v>
      </c>
      <c r="C360">
        <v>2024</v>
      </c>
      <c r="D360">
        <v>11</v>
      </c>
      <c r="E360">
        <v>96633.982812528004</v>
      </c>
      <c r="F360">
        <v>2804</v>
      </c>
    </row>
    <row r="361" spans="1:6" x14ac:dyDescent="0.3">
      <c r="A361" s="1" t="s">
        <v>12</v>
      </c>
      <c r="B361" s="1" t="s">
        <v>8</v>
      </c>
      <c r="C361">
        <v>2024</v>
      </c>
      <c r="D361">
        <v>12</v>
      </c>
      <c r="E361">
        <v>92099.139007135105</v>
      </c>
      <c r="F361">
        <v>2666</v>
      </c>
    </row>
    <row r="362" spans="1:6" x14ac:dyDescent="0.3">
      <c r="A362" s="1" t="s">
        <v>12</v>
      </c>
      <c r="B362" s="1" t="s">
        <v>9</v>
      </c>
      <c r="C362">
        <v>2022</v>
      </c>
      <c r="D362">
        <v>1</v>
      </c>
      <c r="E362">
        <v>57404.352665867904</v>
      </c>
      <c r="F362">
        <v>1643</v>
      </c>
    </row>
    <row r="363" spans="1:6" x14ac:dyDescent="0.3">
      <c r="A363" s="1" t="s">
        <v>12</v>
      </c>
      <c r="B363" s="1" t="s">
        <v>9</v>
      </c>
      <c r="C363">
        <v>2022</v>
      </c>
      <c r="D363">
        <v>2</v>
      </c>
      <c r="E363">
        <v>55702.215021072101</v>
      </c>
      <c r="F363">
        <v>1557</v>
      </c>
    </row>
    <row r="364" spans="1:6" x14ac:dyDescent="0.3">
      <c r="A364" s="1" t="s">
        <v>12</v>
      </c>
      <c r="B364" s="1" t="s">
        <v>9</v>
      </c>
      <c r="C364">
        <v>2022</v>
      </c>
      <c r="D364">
        <v>3</v>
      </c>
      <c r="E364">
        <v>47647.031765102103</v>
      </c>
      <c r="F364">
        <v>1307</v>
      </c>
    </row>
    <row r="365" spans="1:6" x14ac:dyDescent="0.3">
      <c r="A365" s="1" t="s">
        <v>12</v>
      </c>
      <c r="B365" s="1" t="s">
        <v>9</v>
      </c>
      <c r="C365">
        <v>2022</v>
      </c>
      <c r="D365">
        <v>4</v>
      </c>
      <c r="E365">
        <v>51663.4773135957</v>
      </c>
      <c r="F365">
        <v>1501</v>
      </c>
    </row>
    <row r="366" spans="1:6" x14ac:dyDescent="0.3">
      <c r="A366" s="1" t="s">
        <v>12</v>
      </c>
      <c r="B366" s="1" t="s">
        <v>9</v>
      </c>
      <c r="C366">
        <v>2022</v>
      </c>
      <c r="D366">
        <v>5</v>
      </c>
      <c r="E366">
        <v>69439.009120954608</v>
      </c>
      <c r="F366">
        <v>2022</v>
      </c>
    </row>
    <row r="367" spans="1:6" x14ac:dyDescent="0.3">
      <c r="A367" s="1" t="s">
        <v>12</v>
      </c>
      <c r="B367" s="1" t="s">
        <v>9</v>
      </c>
      <c r="C367">
        <v>2022</v>
      </c>
      <c r="D367">
        <v>6</v>
      </c>
      <c r="E367">
        <v>56930.386631331501</v>
      </c>
      <c r="F367">
        <v>1598</v>
      </c>
    </row>
    <row r="368" spans="1:6" x14ac:dyDescent="0.3">
      <c r="A368" s="1" t="s">
        <v>12</v>
      </c>
      <c r="B368" s="1" t="s">
        <v>9</v>
      </c>
      <c r="C368">
        <v>2022</v>
      </c>
      <c r="D368">
        <v>7</v>
      </c>
      <c r="E368">
        <v>53955.102021907798</v>
      </c>
      <c r="F368">
        <v>1594</v>
      </c>
    </row>
    <row r="369" spans="1:6" x14ac:dyDescent="0.3">
      <c r="A369" s="1" t="s">
        <v>12</v>
      </c>
      <c r="B369" s="1" t="s">
        <v>9</v>
      </c>
      <c r="C369">
        <v>2022</v>
      </c>
      <c r="D369">
        <v>8</v>
      </c>
      <c r="E369">
        <v>63338.419134719399</v>
      </c>
      <c r="F369">
        <v>1829</v>
      </c>
    </row>
    <row r="370" spans="1:6" x14ac:dyDescent="0.3">
      <c r="A370" s="1" t="s">
        <v>12</v>
      </c>
      <c r="B370" s="1" t="s">
        <v>9</v>
      </c>
      <c r="C370">
        <v>2022</v>
      </c>
      <c r="D370">
        <v>9</v>
      </c>
      <c r="E370">
        <v>47904.737320207503</v>
      </c>
      <c r="F370">
        <v>1373</v>
      </c>
    </row>
    <row r="371" spans="1:6" x14ac:dyDescent="0.3">
      <c r="A371" s="1" t="s">
        <v>12</v>
      </c>
      <c r="B371" s="1" t="s">
        <v>9</v>
      </c>
      <c r="C371">
        <v>2022</v>
      </c>
      <c r="D371">
        <v>10</v>
      </c>
      <c r="E371">
        <v>54952.374412491998</v>
      </c>
      <c r="F371">
        <v>1565</v>
      </c>
    </row>
    <row r="372" spans="1:6" x14ac:dyDescent="0.3">
      <c r="A372" s="1" t="s">
        <v>12</v>
      </c>
      <c r="B372" s="1" t="s">
        <v>9</v>
      </c>
      <c r="C372">
        <v>2022</v>
      </c>
      <c r="D372">
        <v>11</v>
      </c>
      <c r="E372">
        <v>54369.7394611208</v>
      </c>
      <c r="F372">
        <v>1553</v>
      </c>
    </row>
    <row r="373" spans="1:6" x14ac:dyDescent="0.3">
      <c r="A373" s="1" t="s">
        <v>12</v>
      </c>
      <c r="B373" s="1" t="s">
        <v>9</v>
      </c>
      <c r="C373">
        <v>2022</v>
      </c>
      <c r="D373">
        <v>12</v>
      </c>
      <c r="E373">
        <v>65821.981607118694</v>
      </c>
      <c r="F373">
        <v>1906</v>
      </c>
    </row>
    <row r="374" spans="1:6" x14ac:dyDescent="0.3">
      <c r="A374" s="1" t="s">
        <v>12</v>
      </c>
      <c r="B374" s="1" t="s">
        <v>9</v>
      </c>
      <c r="C374">
        <v>2023</v>
      </c>
      <c r="D374">
        <v>1</v>
      </c>
      <c r="E374">
        <v>63266.868644461698</v>
      </c>
      <c r="F374">
        <v>1807</v>
      </c>
    </row>
    <row r="375" spans="1:6" x14ac:dyDescent="0.3">
      <c r="A375" s="1" t="s">
        <v>12</v>
      </c>
      <c r="B375" s="1" t="s">
        <v>9</v>
      </c>
      <c r="C375">
        <v>2023</v>
      </c>
      <c r="D375">
        <v>2</v>
      </c>
      <c r="E375">
        <v>54234.607240457699</v>
      </c>
      <c r="F375">
        <v>1553</v>
      </c>
    </row>
    <row r="376" spans="1:6" x14ac:dyDescent="0.3">
      <c r="A376" s="1" t="s">
        <v>12</v>
      </c>
      <c r="B376" s="1" t="s">
        <v>9</v>
      </c>
      <c r="C376">
        <v>2023</v>
      </c>
      <c r="D376">
        <v>3</v>
      </c>
      <c r="E376">
        <v>69546.284757042406</v>
      </c>
      <c r="F376">
        <v>1976</v>
      </c>
    </row>
    <row r="377" spans="1:6" x14ac:dyDescent="0.3">
      <c r="A377" s="1" t="s">
        <v>12</v>
      </c>
      <c r="B377" s="1" t="s">
        <v>9</v>
      </c>
      <c r="C377">
        <v>2023</v>
      </c>
      <c r="D377">
        <v>4</v>
      </c>
      <c r="E377">
        <v>81408.001797217104</v>
      </c>
      <c r="F377">
        <v>2265</v>
      </c>
    </row>
    <row r="378" spans="1:6" x14ac:dyDescent="0.3">
      <c r="A378" s="1" t="s">
        <v>12</v>
      </c>
      <c r="B378" s="1" t="s">
        <v>9</v>
      </c>
      <c r="C378">
        <v>2023</v>
      </c>
      <c r="D378">
        <v>5</v>
      </c>
      <c r="E378">
        <v>69901.544988749898</v>
      </c>
      <c r="F378">
        <v>2030</v>
      </c>
    </row>
    <row r="379" spans="1:6" x14ac:dyDescent="0.3">
      <c r="A379" s="1" t="s">
        <v>12</v>
      </c>
      <c r="B379" s="1" t="s">
        <v>9</v>
      </c>
      <c r="C379">
        <v>2023</v>
      </c>
      <c r="D379">
        <v>6</v>
      </c>
      <c r="E379">
        <v>50050.683120777001</v>
      </c>
      <c r="F379">
        <v>1420</v>
      </c>
    </row>
    <row r="380" spans="1:6" x14ac:dyDescent="0.3">
      <c r="A380" s="1" t="s">
        <v>12</v>
      </c>
      <c r="B380" s="1" t="s">
        <v>9</v>
      </c>
      <c r="C380">
        <v>2023</v>
      </c>
      <c r="D380">
        <v>7</v>
      </c>
      <c r="E380">
        <v>45385.517724885402</v>
      </c>
      <c r="F380">
        <v>1316</v>
      </c>
    </row>
    <row r="381" spans="1:6" x14ac:dyDescent="0.3">
      <c r="A381" s="1" t="s">
        <v>12</v>
      </c>
      <c r="B381" s="1" t="s">
        <v>9</v>
      </c>
      <c r="C381">
        <v>2023</v>
      </c>
      <c r="D381">
        <v>8</v>
      </c>
      <c r="E381">
        <v>45909.830544968165</v>
      </c>
      <c r="F381">
        <v>1346</v>
      </c>
    </row>
    <row r="382" spans="1:6" x14ac:dyDescent="0.3">
      <c r="A382" s="1" t="s">
        <v>12</v>
      </c>
      <c r="B382" s="1" t="s">
        <v>9</v>
      </c>
      <c r="C382">
        <v>2023</v>
      </c>
      <c r="D382">
        <v>9</v>
      </c>
      <c r="E382">
        <v>58455.664653457396</v>
      </c>
      <c r="F382">
        <v>1715</v>
      </c>
    </row>
    <row r="383" spans="1:6" x14ac:dyDescent="0.3">
      <c r="A383" s="1" t="s">
        <v>12</v>
      </c>
      <c r="B383" s="1" t="s">
        <v>9</v>
      </c>
      <c r="C383">
        <v>2023</v>
      </c>
      <c r="D383">
        <v>10</v>
      </c>
      <c r="E383">
        <v>58921.379848146702</v>
      </c>
      <c r="F383">
        <v>1674</v>
      </c>
    </row>
    <row r="384" spans="1:6" x14ac:dyDescent="0.3">
      <c r="A384" s="1" t="s">
        <v>12</v>
      </c>
      <c r="B384" s="1" t="s">
        <v>9</v>
      </c>
      <c r="C384">
        <v>2023</v>
      </c>
      <c r="D384">
        <v>11</v>
      </c>
      <c r="E384">
        <v>61162.009999348396</v>
      </c>
      <c r="F384">
        <v>1777</v>
      </c>
    </row>
    <row r="385" spans="1:6" x14ac:dyDescent="0.3">
      <c r="A385" s="1" t="s">
        <v>12</v>
      </c>
      <c r="B385" s="1" t="s">
        <v>9</v>
      </c>
      <c r="C385">
        <v>2023</v>
      </c>
      <c r="D385">
        <v>12</v>
      </c>
      <c r="E385">
        <v>56748.502199414703</v>
      </c>
      <c r="F385">
        <v>1614</v>
      </c>
    </row>
    <row r="386" spans="1:6" x14ac:dyDescent="0.3">
      <c r="A386" s="1" t="s">
        <v>12</v>
      </c>
      <c r="B386" s="1" t="s">
        <v>9</v>
      </c>
      <c r="C386">
        <v>2024</v>
      </c>
      <c r="D386">
        <v>1</v>
      </c>
      <c r="E386">
        <v>61921.899194120502</v>
      </c>
      <c r="F386">
        <v>1723</v>
      </c>
    </row>
    <row r="387" spans="1:6" x14ac:dyDescent="0.3">
      <c r="A387" s="1" t="s">
        <v>12</v>
      </c>
      <c r="B387" s="1" t="s">
        <v>9</v>
      </c>
      <c r="C387">
        <v>2024</v>
      </c>
      <c r="D387">
        <v>2</v>
      </c>
      <c r="E387">
        <v>69808.957436950295</v>
      </c>
      <c r="F387">
        <v>1980</v>
      </c>
    </row>
    <row r="388" spans="1:6" x14ac:dyDescent="0.3">
      <c r="A388" s="1" t="s">
        <v>12</v>
      </c>
      <c r="B388" s="1" t="s">
        <v>9</v>
      </c>
      <c r="C388">
        <v>2024</v>
      </c>
      <c r="D388">
        <v>3</v>
      </c>
      <c r="E388">
        <v>65631.990317519696</v>
      </c>
      <c r="F388">
        <v>1942</v>
      </c>
    </row>
    <row r="389" spans="1:6" x14ac:dyDescent="0.3">
      <c r="A389" s="1" t="s">
        <v>12</v>
      </c>
      <c r="B389" s="1" t="s">
        <v>9</v>
      </c>
      <c r="C389">
        <v>2024</v>
      </c>
      <c r="D389">
        <v>4</v>
      </c>
      <c r="E389">
        <v>48410.424220716493</v>
      </c>
      <c r="F389">
        <v>1404</v>
      </c>
    </row>
    <row r="390" spans="1:6" x14ac:dyDescent="0.3">
      <c r="A390" s="1" t="s">
        <v>12</v>
      </c>
      <c r="B390" s="1" t="s">
        <v>9</v>
      </c>
      <c r="C390">
        <v>2024</v>
      </c>
      <c r="D390">
        <v>5</v>
      </c>
      <c r="E390">
        <v>63493.740222657798</v>
      </c>
      <c r="F390">
        <v>1835</v>
      </c>
    </row>
    <row r="391" spans="1:6" x14ac:dyDescent="0.3">
      <c r="A391" s="1" t="s">
        <v>12</v>
      </c>
      <c r="B391" s="1" t="s">
        <v>9</v>
      </c>
      <c r="C391">
        <v>2024</v>
      </c>
      <c r="D391">
        <v>6</v>
      </c>
      <c r="E391">
        <v>89584.488776892511</v>
      </c>
      <c r="F391">
        <v>2641</v>
      </c>
    </row>
    <row r="392" spans="1:6" x14ac:dyDescent="0.3">
      <c r="A392" s="1" t="s">
        <v>12</v>
      </c>
      <c r="B392" s="1" t="s">
        <v>9</v>
      </c>
      <c r="C392">
        <v>2024</v>
      </c>
      <c r="D392">
        <v>7</v>
      </c>
      <c r="E392">
        <v>57701.404408159899</v>
      </c>
      <c r="F392">
        <v>1665</v>
      </c>
    </row>
    <row r="393" spans="1:6" x14ac:dyDescent="0.3">
      <c r="A393" s="1" t="s">
        <v>12</v>
      </c>
      <c r="B393" s="1" t="s">
        <v>9</v>
      </c>
      <c r="C393">
        <v>2024</v>
      </c>
      <c r="D393">
        <v>8</v>
      </c>
      <c r="E393">
        <v>50811.346063210498</v>
      </c>
      <c r="F393">
        <v>1510</v>
      </c>
    </row>
    <row r="394" spans="1:6" x14ac:dyDescent="0.3">
      <c r="A394" s="1" t="s">
        <v>12</v>
      </c>
      <c r="B394" s="1" t="s">
        <v>9</v>
      </c>
      <c r="C394">
        <v>2024</v>
      </c>
      <c r="D394">
        <v>9</v>
      </c>
      <c r="E394">
        <v>49160.223786090399</v>
      </c>
      <c r="F394">
        <v>1390</v>
      </c>
    </row>
    <row r="395" spans="1:6" x14ac:dyDescent="0.3">
      <c r="A395" s="1" t="s">
        <v>12</v>
      </c>
      <c r="B395" s="1" t="s">
        <v>9</v>
      </c>
      <c r="C395">
        <v>2024</v>
      </c>
      <c r="D395">
        <v>10</v>
      </c>
      <c r="E395">
        <v>61778.898973058604</v>
      </c>
      <c r="F395">
        <v>1732</v>
      </c>
    </row>
    <row r="396" spans="1:6" x14ac:dyDescent="0.3">
      <c r="A396" s="1" t="s">
        <v>12</v>
      </c>
      <c r="B396" s="1" t="s">
        <v>9</v>
      </c>
      <c r="C396">
        <v>2024</v>
      </c>
      <c r="D396">
        <v>11</v>
      </c>
      <c r="E396">
        <v>66250.578996908691</v>
      </c>
      <c r="F396">
        <v>1900</v>
      </c>
    </row>
    <row r="397" spans="1:6" x14ac:dyDescent="0.3">
      <c r="A397" s="1" t="s">
        <v>12</v>
      </c>
      <c r="B397" s="1" t="s">
        <v>9</v>
      </c>
      <c r="C397">
        <v>2024</v>
      </c>
      <c r="D397">
        <v>12</v>
      </c>
      <c r="E397">
        <v>52786.027999927304</v>
      </c>
      <c r="F397">
        <v>1514</v>
      </c>
    </row>
    <row r="398" spans="1:6" x14ac:dyDescent="0.3">
      <c r="A398" s="1" t="s">
        <v>12</v>
      </c>
      <c r="B398" s="1" t="s">
        <v>10</v>
      </c>
      <c r="C398">
        <v>2022</v>
      </c>
      <c r="D398">
        <v>1</v>
      </c>
      <c r="E398">
        <v>66719.347722336708</v>
      </c>
      <c r="F398">
        <v>1909</v>
      </c>
    </row>
    <row r="399" spans="1:6" x14ac:dyDescent="0.3">
      <c r="A399" s="1" t="s">
        <v>12</v>
      </c>
      <c r="B399" s="1" t="s">
        <v>10</v>
      </c>
      <c r="C399">
        <v>2022</v>
      </c>
      <c r="D399">
        <v>2</v>
      </c>
      <c r="E399">
        <v>68391.685004839208</v>
      </c>
      <c r="F399">
        <v>1995</v>
      </c>
    </row>
    <row r="400" spans="1:6" x14ac:dyDescent="0.3">
      <c r="A400" s="1" t="s">
        <v>12</v>
      </c>
      <c r="B400" s="1" t="s">
        <v>10</v>
      </c>
      <c r="C400">
        <v>2022</v>
      </c>
      <c r="D400">
        <v>3</v>
      </c>
      <c r="E400">
        <v>72649.296338466491</v>
      </c>
      <c r="F400">
        <v>2073</v>
      </c>
    </row>
    <row r="401" spans="1:6" x14ac:dyDescent="0.3">
      <c r="A401" s="1" t="s">
        <v>12</v>
      </c>
      <c r="B401" s="1" t="s">
        <v>10</v>
      </c>
      <c r="C401">
        <v>2022</v>
      </c>
      <c r="D401">
        <v>4</v>
      </c>
      <c r="E401">
        <v>49627.246320460901</v>
      </c>
      <c r="F401">
        <v>1404</v>
      </c>
    </row>
    <row r="402" spans="1:6" x14ac:dyDescent="0.3">
      <c r="A402" s="1" t="s">
        <v>12</v>
      </c>
      <c r="B402" s="1" t="s">
        <v>10</v>
      </c>
      <c r="C402">
        <v>2022</v>
      </c>
      <c r="D402">
        <v>5</v>
      </c>
      <c r="E402">
        <v>94364.158586035992</v>
      </c>
      <c r="F402">
        <v>2684</v>
      </c>
    </row>
    <row r="403" spans="1:6" x14ac:dyDescent="0.3">
      <c r="A403" s="1" t="s">
        <v>12</v>
      </c>
      <c r="B403" s="1" t="s">
        <v>10</v>
      </c>
      <c r="C403">
        <v>2022</v>
      </c>
      <c r="D403">
        <v>6</v>
      </c>
      <c r="E403">
        <v>74395.001669875506</v>
      </c>
      <c r="F403">
        <v>2134</v>
      </c>
    </row>
    <row r="404" spans="1:6" x14ac:dyDescent="0.3">
      <c r="A404" s="1" t="s">
        <v>12</v>
      </c>
      <c r="B404" s="1" t="s">
        <v>10</v>
      </c>
      <c r="C404">
        <v>2022</v>
      </c>
      <c r="D404">
        <v>7</v>
      </c>
      <c r="E404">
        <v>69326.102418586001</v>
      </c>
      <c r="F404">
        <v>1998</v>
      </c>
    </row>
    <row r="405" spans="1:6" x14ac:dyDescent="0.3">
      <c r="A405" s="1" t="s">
        <v>12</v>
      </c>
      <c r="B405" s="1" t="s">
        <v>10</v>
      </c>
      <c r="C405">
        <v>2022</v>
      </c>
      <c r="D405">
        <v>8</v>
      </c>
      <c r="E405">
        <v>63713.605606155499</v>
      </c>
      <c r="F405">
        <v>1880</v>
      </c>
    </row>
    <row r="406" spans="1:6" x14ac:dyDescent="0.3">
      <c r="A406" s="1" t="s">
        <v>12</v>
      </c>
      <c r="B406" s="1" t="s">
        <v>10</v>
      </c>
      <c r="C406">
        <v>2022</v>
      </c>
      <c r="D406">
        <v>9</v>
      </c>
      <c r="E406">
        <v>69831.398017664702</v>
      </c>
      <c r="F406">
        <v>1976</v>
      </c>
    </row>
    <row r="407" spans="1:6" x14ac:dyDescent="0.3">
      <c r="A407" s="1" t="s">
        <v>12</v>
      </c>
      <c r="B407" s="1" t="s">
        <v>10</v>
      </c>
      <c r="C407">
        <v>2022</v>
      </c>
      <c r="D407">
        <v>10</v>
      </c>
      <c r="E407">
        <v>68150.972572468701</v>
      </c>
      <c r="F407">
        <v>1944</v>
      </c>
    </row>
    <row r="408" spans="1:6" x14ac:dyDescent="0.3">
      <c r="A408" s="1" t="s">
        <v>12</v>
      </c>
      <c r="B408" s="1" t="s">
        <v>10</v>
      </c>
      <c r="C408">
        <v>2022</v>
      </c>
      <c r="D408">
        <v>11</v>
      </c>
      <c r="E408">
        <v>94818.9055448211</v>
      </c>
      <c r="F408">
        <v>2706</v>
      </c>
    </row>
    <row r="409" spans="1:6" x14ac:dyDescent="0.3">
      <c r="A409" s="1" t="s">
        <v>12</v>
      </c>
      <c r="B409" s="1" t="s">
        <v>10</v>
      </c>
      <c r="C409">
        <v>2022</v>
      </c>
      <c r="D409">
        <v>12</v>
      </c>
      <c r="E409">
        <v>74243.693862985398</v>
      </c>
      <c r="F409">
        <v>2116</v>
      </c>
    </row>
    <row r="410" spans="1:6" x14ac:dyDescent="0.3">
      <c r="A410" s="1" t="s">
        <v>12</v>
      </c>
      <c r="B410" s="1" t="s">
        <v>10</v>
      </c>
      <c r="C410">
        <v>2023</v>
      </c>
      <c r="D410">
        <v>1</v>
      </c>
      <c r="E410">
        <v>77273.694804218801</v>
      </c>
      <c r="F410">
        <v>2181</v>
      </c>
    </row>
    <row r="411" spans="1:6" x14ac:dyDescent="0.3">
      <c r="A411" s="1" t="s">
        <v>12</v>
      </c>
      <c r="B411" s="1" t="s">
        <v>10</v>
      </c>
      <c r="C411">
        <v>2023</v>
      </c>
      <c r="D411">
        <v>2</v>
      </c>
      <c r="E411">
        <v>93048.348049035296</v>
      </c>
      <c r="F411">
        <v>2656</v>
      </c>
    </row>
    <row r="412" spans="1:6" x14ac:dyDescent="0.3">
      <c r="A412" s="1" t="s">
        <v>12</v>
      </c>
      <c r="B412" s="1" t="s">
        <v>10</v>
      </c>
      <c r="C412">
        <v>2023</v>
      </c>
      <c r="D412">
        <v>3</v>
      </c>
      <c r="E412">
        <v>61039.137143276799</v>
      </c>
      <c r="F412">
        <v>1706</v>
      </c>
    </row>
    <row r="413" spans="1:6" x14ac:dyDescent="0.3">
      <c r="A413" s="1" t="s">
        <v>12</v>
      </c>
      <c r="B413" s="1" t="s">
        <v>10</v>
      </c>
      <c r="C413">
        <v>2023</v>
      </c>
      <c r="D413">
        <v>4</v>
      </c>
      <c r="E413">
        <v>96371.483188157101</v>
      </c>
      <c r="F413">
        <v>2668</v>
      </c>
    </row>
    <row r="414" spans="1:6" x14ac:dyDescent="0.3">
      <c r="A414" s="1" t="s">
        <v>12</v>
      </c>
      <c r="B414" s="1" t="s">
        <v>10</v>
      </c>
      <c r="C414">
        <v>2023</v>
      </c>
      <c r="D414">
        <v>5</v>
      </c>
      <c r="E414">
        <v>91179.253153100508</v>
      </c>
      <c r="F414">
        <v>2624</v>
      </c>
    </row>
    <row r="415" spans="1:6" x14ac:dyDescent="0.3">
      <c r="A415" s="1" t="s">
        <v>12</v>
      </c>
      <c r="B415" s="1" t="s">
        <v>10</v>
      </c>
      <c r="C415">
        <v>2023</v>
      </c>
      <c r="D415">
        <v>6</v>
      </c>
      <c r="E415">
        <v>83984.368640298198</v>
      </c>
      <c r="F415">
        <v>2371</v>
      </c>
    </row>
    <row r="416" spans="1:6" x14ac:dyDescent="0.3">
      <c r="A416" s="1" t="s">
        <v>12</v>
      </c>
      <c r="B416" s="1" t="s">
        <v>10</v>
      </c>
      <c r="C416">
        <v>2023</v>
      </c>
      <c r="D416">
        <v>7</v>
      </c>
      <c r="E416">
        <v>80467.667093022101</v>
      </c>
      <c r="F416">
        <v>2246</v>
      </c>
    </row>
    <row r="417" spans="1:6" x14ac:dyDescent="0.3">
      <c r="A417" s="1" t="s">
        <v>12</v>
      </c>
      <c r="B417" s="1" t="s">
        <v>10</v>
      </c>
      <c r="C417">
        <v>2023</v>
      </c>
      <c r="D417">
        <v>8</v>
      </c>
      <c r="E417">
        <v>80687.799143686294</v>
      </c>
      <c r="F417">
        <v>2346</v>
      </c>
    </row>
    <row r="418" spans="1:6" x14ac:dyDescent="0.3">
      <c r="A418" s="1" t="s">
        <v>12</v>
      </c>
      <c r="B418" s="1" t="s">
        <v>10</v>
      </c>
      <c r="C418">
        <v>2023</v>
      </c>
      <c r="D418">
        <v>9</v>
      </c>
      <c r="E418">
        <v>91560.597206435297</v>
      </c>
      <c r="F418">
        <v>2637</v>
      </c>
    </row>
    <row r="419" spans="1:6" x14ac:dyDescent="0.3">
      <c r="A419" s="1" t="s">
        <v>12</v>
      </c>
      <c r="B419" s="1" t="s">
        <v>10</v>
      </c>
      <c r="C419">
        <v>2023</v>
      </c>
      <c r="D419">
        <v>10</v>
      </c>
      <c r="E419">
        <v>84427.056924425298</v>
      </c>
      <c r="F419">
        <v>2410</v>
      </c>
    </row>
    <row r="420" spans="1:6" x14ac:dyDescent="0.3">
      <c r="A420" s="1" t="s">
        <v>12</v>
      </c>
      <c r="B420" s="1" t="s">
        <v>10</v>
      </c>
      <c r="C420">
        <v>2023</v>
      </c>
      <c r="D420">
        <v>11</v>
      </c>
      <c r="E420">
        <v>83652.848156286709</v>
      </c>
      <c r="F420">
        <v>2330</v>
      </c>
    </row>
    <row r="421" spans="1:6" x14ac:dyDescent="0.3">
      <c r="A421" s="1" t="s">
        <v>12</v>
      </c>
      <c r="B421" s="1" t="s">
        <v>10</v>
      </c>
      <c r="C421">
        <v>2023</v>
      </c>
      <c r="D421">
        <v>12</v>
      </c>
      <c r="E421">
        <v>88633.939384225698</v>
      </c>
      <c r="F421">
        <v>2546</v>
      </c>
    </row>
    <row r="422" spans="1:6" x14ac:dyDescent="0.3">
      <c r="A422" s="1" t="s">
        <v>12</v>
      </c>
      <c r="B422" s="1" t="s">
        <v>10</v>
      </c>
      <c r="C422">
        <v>2024</v>
      </c>
      <c r="D422">
        <v>1</v>
      </c>
      <c r="E422">
        <v>78690.187838323298</v>
      </c>
      <c r="F422">
        <v>2272</v>
      </c>
    </row>
    <row r="423" spans="1:6" x14ac:dyDescent="0.3">
      <c r="A423" s="1" t="s">
        <v>12</v>
      </c>
      <c r="B423" s="1" t="s">
        <v>10</v>
      </c>
      <c r="C423">
        <v>2024</v>
      </c>
      <c r="D423">
        <v>2</v>
      </c>
      <c r="E423">
        <v>79050.867024700798</v>
      </c>
      <c r="F423">
        <v>2180</v>
      </c>
    </row>
    <row r="424" spans="1:6" x14ac:dyDescent="0.3">
      <c r="A424" s="1" t="s">
        <v>12</v>
      </c>
      <c r="B424" s="1" t="s">
        <v>10</v>
      </c>
      <c r="C424">
        <v>2024</v>
      </c>
      <c r="D424">
        <v>3</v>
      </c>
      <c r="E424">
        <v>70640.562130257298</v>
      </c>
      <c r="F424">
        <v>2028</v>
      </c>
    </row>
    <row r="425" spans="1:6" x14ac:dyDescent="0.3">
      <c r="A425" s="1" t="s">
        <v>12</v>
      </c>
      <c r="B425" s="1" t="s">
        <v>10</v>
      </c>
      <c r="C425">
        <v>2024</v>
      </c>
      <c r="D425">
        <v>4</v>
      </c>
      <c r="E425">
        <v>93004.809860576788</v>
      </c>
      <c r="F425">
        <v>2728</v>
      </c>
    </row>
    <row r="426" spans="1:6" x14ac:dyDescent="0.3">
      <c r="A426" s="1" t="s">
        <v>12</v>
      </c>
      <c r="B426" s="1" t="s">
        <v>10</v>
      </c>
      <c r="C426">
        <v>2024</v>
      </c>
      <c r="D426">
        <v>5</v>
      </c>
      <c r="E426">
        <v>63207.902635633902</v>
      </c>
      <c r="F426">
        <v>1838</v>
      </c>
    </row>
    <row r="427" spans="1:6" x14ac:dyDescent="0.3">
      <c r="A427" s="1" t="s">
        <v>12</v>
      </c>
      <c r="B427" s="1" t="s">
        <v>10</v>
      </c>
      <c r="C427">
        <v>2024</v>
      </c>
      <c r="D427">
        <v>6</v>
      </c>
      <c r="E427">
        <v>93010.376983883107</v>
      </c>
      <c r="F427">
        <v>2669</v>
      </c>
    </row>
    <row r="428" spans="1:6" x14ac:dyDescent="0.3">
      <c r="A428" s="1" t="s">
        <v>12</v>
      </c>
      <c r="B428" s="1" t="s">
        <v>10</v>
      </c>
      <c r="C428">
        <v>2024</v>
      </c>
      <c r="D428">
        <v>7</v>
      </c>
      <c r="E428">
        <v>81661.701221946103</v>
      </c>
      <c r="F428">
        <v>2317</v>
      </c>
    </row>
    <row r="429" spans="1:6" x14ac:dyDescent="0.3">
      <c r="A429" s="1" t="s">
        <v>12</v>
      </c>
      <c r="B429" s="1" t="s">
        <v>10</v>
      </c>
      <c r="C429">
        <v>2024</v>
      </c>
      <c r="D429">
        <v>8</v>
      </c>
      <c r="E429">
        <v>71235.494753615698</v>
      </c>
      <c r="F429">
        <v>2027</v>
      </c>
    </row>
    <row r="430" spans="1:6" x14ac:dyDescent="0.3">
      <c r="A430" s="1" t="s">
        <v>12</v>
      </c>
      <c r="B430" s="1" t="s">
        <v>10</v>
      </c>
      <c r="C430">
        <v>2024</v>
      </c>
      <c r="D430">
        <v>9</v>
      </c>
      <c r="E430">
        <v>90762.003099267502</v>
      </c>
      <c r="F430">
        <v>2581</v>
      </c>
    </row>
    <row r="431" spans="1:6" x14ac:dyDescent="0.3">
      <c r="A431" s="1" t="s">
        <v>12</v>
      </c>
      <c r="B431" s="1" t="s">
        <v>10</v>
      </c>
      <c r="C431">
        <v>2024</v>
      </c>
      <c r="D431">
        <v>10</v>
      </c>
      <c r="E431">
        <v>82553.343217404006</v>
      </c>
      <c r="F431">
        <v>2345</v>
      </c>
    </row>
    <row r="432" spans="1:6" x14ac:dyDescent="0.3">
      <c r="A432" s="1" t="s">
        <v>12</v>
      </c>
      <c r="B432" s="1" t="s">
        <v>10</v>
      </c>
      <c r="C432">
        <v>2024</v>
      </c>
      <c r="D432">
        <v>11</v>
      </c>
      <c r="E432">
        <v>94659.873031925003</v>
      </c>
      <c r="F432">
        <v>2694</v>
      </c>
    </row>
    <row r="433" spans="1:6" x14ac:dyDescent="0.3">
      <c r="A433" s="1" t="s">
        <v>12</v>
      </c>
      <c r="B433" s="1" t="s">
        <v>10</v>
      </c>
      <c r="C433">
        <v>2024</v>
      </c>
      <c r="D433">
        <v>12</v>
      </c>
      <c r="E433">
        <v>73513.384774706297</v>
      </c>
      <c r="F433">
        <v>2126</v>
      </c>
    </row>
    <row r="434" spans="1:6" x14ac:dyDescent="0.3">
      <c r="A434" s="1" t="s">
        <v>13</v>
      </c>
      <c r="B434" s="1" t="s">
        <v>7</v>
      </c>
      <c r="C434">
        <v>2022</v>
      </c>
      <c r="D434">
        <v>1</v>
      </c>
      <c r="E434">
        <v>33822.377343369801</v>
      </c>
      <c r="F434">
        <v>1129</v>
      </c>
    </row>
    <row r="435" spans="1:6" x14ac:dyDescent="0.3">
      <c r="A435" s="1" t="s">
        <v>13</v>
      </c>
      <c r="B435" s="1" t="s">
        <v>7</v>
      </c>
      <c r="C435">
        <v>2022</v>
      </c>
      <c r="D435">
        <v>2</v>
      </c>
      <c r="E435">
        <v>45007.795314467512</v>
      </c>
      <c r="F435">
        <v>1559</v>
      </c>
    </row>
    <row r="436" spans="1:6" x14ac:dyDescent="0.3">
      <c r="A436" s="1" t="s">
        <v>13</v>
      </c>
      <c r="B436" s="1" t="s">
        <v>7</v>
      </c>
      <c r="C436">
        <v>2022</v>
      </c>
      <c r="D436">
        <v>3</v>
      </c>
      <c r="E436">
        <v>45382.727681860299</v>
      </c>
      <c r="F436">
        <v>1532</v>
      </c>
    </row>
    <row r="437" spans="1:6" x14ac:dyDescent="0.3">
      <c r="A437" s="1" t="s">
        <v>13</v>
      </c>
      <c r="B437" s="1" t="s">
        <v>7</v>
      </c>
      <c r="C437">
        <v>2022</v>
      </c>
      <c r="D437">
        <v>4</v>
      </c>
      <c r="E437">
        <v>44193.029644328599</v>
      </c>
      <c r="F437">
        <v>1508</v>
      </c>
    </row>
    <row r="438" spans="1:6" x14ac:dyDescent="0.3">
      <c r="A438" s="1" t="s">
        <v>13</v>
      </c>
      <c r="B438" s="1" t="s">
        <v>7</v>
      </c>
      <c r="C438">
        <v>2022</v>
      </c>
      <c r="D438">
        <v>5</v>
      </c>
      <c r="E438">
        <v>47308.630029974098</v>
      </c>
      <c r="F438">
        <v>1536</v>
      </c>
    </row>
    <row r="439" spans="1:6" x14ac:dyDescent="0.3">
      <c r="A439" s="1" t="s">
        <v>13</v>
      </c>
      <c r="B439" s="1" t="s">
        <v>7</v>
      </c>
      <c r="C439">
        <v>2022</v>
      </c>
      <c r="D439">
        <v>6</v>
      </c>
      <c r="E439">
        <v>54563.990245020999</v>
      </c>
      <c r="F439">
        <v>1874</v>
      </c>
    </row>
    <row r="440" spans="1:6" x14ac:dyDescent="0.3">
      <c r="A440" s="1" t="s">
        <v>13</v>
      </c>
      <c r="B440" s="1" t="s">
        <v>7</v>
      </c>
      <c r="C440">
        <v>2022</v>
      </c>
      <c r="D440">
        <v>7</v>
      </c>
      <c r="E440">
        <v>47981.065373267498</v>
      </c>
      <c r="F440">
        <v>1642</v>
      </c>
    </row>
    <row r="441" spans="1:6" x14ac:dyDescent="0.3">
      <c r="A441" s="1" t="s">
        <v>13</v>
      </c>
      <c r="B441" s="1" t="s">
        <v>7</v>
      </c>
      <c r="C441">
        <v>2022</v>
      </c>
      <c r="D441">
        <v>8</v>
      </c>
      <c r="E441">
        <v>43653.771260256603</v>
      </c>
      <c r="F441">
        <v>1411</v>
      </c>
    </row>
    <row r="442" spans="1:6" x14ac:dyDescent="0.3">
      <c r="A442" s="1" t="s">
        <v>13</v>
      </c>
      <c r="B442" s="1" t="s">
        <v>7</v>
      </c>
      <c r="C442">
        <v>2022</v>
      </c>
      <c r="D442">
        <v>9</v>
      </c>
      <c r="E442">
        <v>61967.384445879201</v>
      </c>
      <c r="F442">
        <v>2075</v>
      </c>
    </row>
    <row r="443" spans="1:6" x14ac:dyDescent="0.3">
      <c r="A443" s="1" t="s">
        <v>13</v>
      </c>
      <c r="B443" s="1" t="s">
        <v>7</v>
      </c>
      <c r="C443">
        <v>2022</v>
      </c>
      <c r="D443">
        <v>10</v>
      </c>
      <c r="E443">
        <v>38486.820246813382</v>
      </c>
      <c r="F443">
        <v>1271</v>
      </c>
    </row>
    <row r="444" spans="1:6" x14ac:dyDescent="0.3">
      <c r="A444" s="1" t="s">
        <v>13</v>
      </c>
      <c r="B444" s="1" t="s">
        <v>7</v>
      </c>
      <c r="C444">
        <v>2022</v>
      </c>
      <c r="D444">
        <v>11</v>
      </c>
      <c r="E444">
        <v>46858.685381507501</v>
      </c>
      <c r="F444">
        <v>1505</v>
      </c>
    </row>
    <row r="445" spans="1:6" x14ac:dyDescent="0.3">
      <c r="A445" s="1" t="s">
        <v>13</v>
      </c>
      <c r="B445" s="1" t="s">
        <v>7</v>
      </c>
      <c r="C445">
        <v>2022</v>
      </c>
      <c r="D445">
        <v>12</v>
      </c>
      <c r="E445">
        <v>59924.148646834998</v>
      </c>
      <c r="F445">
        <v>1930</v>
      </c>
    </row>
    <row r="446" spans="1:6" x14ac:dyDescent="0.3">
      <c r="A446" s="1" t="s">
        <v>13</v>
      </c>
      <c r="B446" s="1" t="s">
        <v>7</v>
      </c>
      <c r="C446">
        <v>2023</v>
      </c>
      <c r="D446">
        <v>1</v>
      </c>
      <c r="E446">
        <v>48329.929887243605</v>
      </c>
      <c r="F446">
        <v>1626</v>
      </c>
    </row>
    <row r="447" spans="1:6" x14ac:dyDescent="0.3">
      <c r="A447" s="1" t="s">
        <v>13</v>
      </c>
      <c r="B447" s="1" t="s">
        <v>7</v>
      </c>
      <c r="C447">
        <v>2023</v>
      </c>
      <c r="D447">
        <v>2</v>
      </c>
      <c r="E447">
        <v>52071.32681158436</v>
      </c>
      <c r="F447">
        <v>1759</v>
      </c>
    </row>
    <row r="448" spans="1:6" x14ac:dyDescent="0.3">
      <c r="A448" s="1" t="s">
        <v>13</v>
      </c>
      <c r="B448" s="1" t="s">
        <v>7</v>
      </c>
      <c r="C448">
        <v>2023</v>
      </c>
      <c r="D448">
        <v>3</v>
      </c>
      <c r="E448">
        <v>51027.6724329098</v>
      </c>
      <c r="F448">
        <v>1681</v>
      </c>
    </row>
    <row r="449" spans="1:6" x14ac:dyDescent="0.3">
      <c r="A449" s="1" t="s">
        <v>13</v>
      </c>
      <c r="B449" s="1" t="s">
        <v>7</v>
      </c>
      <c r="C449">
        <v>2023</v>
      </c>
      <c r="D449">
        <v>4</v>
      </c>
      <c r="E449">
        <v>65080.053210259503</v>
      </c>
      <c r="F449">
        <v>2123</v>
      </c>
    </row>
    <row r="450" spans="1:6" x14ac:dyDescent="0.3">
      <c r="A450" s="1" t="s">
        <v>13</v>
      </c>
      <c r="B450" s="1" t="s">
        <v>7</v>
      </c>
      <c r="C450">
        <v>2023</v>
      </c>
      <c r="D450">
        <v>5</v>
      </c>
      <c r="E450">
        <v>54439.525230355503</v>
      </c>
      <c r="F450">
        <v>1768</v>
      </c>
    </row>
    <row r="451" spans="1:6" x14ac:dyDescent="0.3">
      <c r="A451" s="1" t="s">
        <v>13</v>
      </c>
      <c r="B451" s="1" t="s">
        <v>7</v>
      </c>
      <c r="C451">
        <v>2023</v>
      </c>
      <c r="D451">
        <v>6</v>
      </c>
      <c r="E451">
        <v>58003.422517400599</v>
      </c>
      <c r="F451">
        <v>1907</v>
      </c>
    </row>
    <row r="452" spans="1:6" x14ac:dyDescent="0.3">
      <c r="A452" s="1" t="s">
        <v>13</v>
      </c>
      <c r="B452" s="1" t="s">
        <v>7</v>
      </c>
      <c r="C452">
        <v>2023</v>
      </c>
      <c r="D452">
        <v>7</v>
      </c>
      <c r="E452">
        <v>54351.278731145896</v>
      </c>
      <c r="F452">
        <v>1836</v>
      </c>
    </row>
    <row r="453" spans="1:6" x14ac:dyDescent="0.3">
      <c r="A453" s="1" t="s">
        <v>13</v>
      </c>
      <c r="B453" s="1" t="s">
        <v>7</v>
      </c>
      <c r="C453">
        <v>2023</v>
      </c>
      <c r="D453">
        <v>8</v>
      </c>
      <c r="E453">
        <v>39658.808559867335</v>
      </c>
      <c r="F453">
        <v>1326</v>
      </c>
    </row>
    <row r="454" spans="1:6" x14ac:dyDescent="0.3">
      <c r="A454" s="1" t="s">
        <v>13</v>
      </c>
      <c r="B454" s="1" t="s">
        <v>7</v>
      </c>
      <c r="C454">
        <v>2023</v>
      </c>
      <c r="D454">
        <v>9</v>
      </c>
      <c r="E454">
        <v>48816.171366857801</v>
      </c>
      <c r="F454">
        <v>1643</v>
      </c>
    </row>
    <row r="455" spans="1:6" x14ac:dyDescent="0.3">
      <c r="A455" s="1" t="s">
        <v>13</v>
      </c>
      <c r="B455" s="1" t="s">
        <v>7</v>
      </c>
      <c r="C455">
        <v>2023</v>
      </c>
      <c r="D455">
        <v>10</v>
      </c>
      <c r="E455">
        <v>55295.059911894496</v>
      </c>
      <c r="F455">
        <v>1870</v>
      </c>
    </row>
    <row r="456" spans="1:6" x14ac:dyDescent="0.3">
      <c r="A456" s="1" t="s">
        <v>13</v>
      </c>
      <c r="B456" s="1" t="s">
        <v>7</v>
      </c>
      <c r="C456">
        <v>2023</v>
      </c>
      <c r="D456">
        <v>11</v>
      </c>
      <c r="E456">
        <v>67566.862072948701</v>
      </c>
      <c r="F456">
        <v>2242</v>
      </c>
    </row>
    <row r="457" spans="1:6" x14ac:dyDescent="0.3">
      <c r="A457" s="1" t="s">
        <v>13</v>
      </c>
      <c r="B457" s="1" t="s">
        <v>7</v>
      </c>
      <c r="C457">
        <v>2023</v>
      </c>
      <c r="D457">
        <v>12</v>
      </c>
      <c r="E457">
        <v>48300.418950137697</v>
      </c>
      <c r="F457">
        <v>1614</v>
      </c>
    </row>
    <row r="458" spans="1:6" x14ac:dyDescent="0.3">
      <c r="A458" s="1" t="s">
        <v>13</v>
      </c>
      <c r="B458" s="1" t="s">
        <v>7</v>
      </c>
      <c r="C458">
        <v>2024</v>
      </c>
      <c r="D458">
        <v>1</v>
      </c>
      <c r="E458">
        <v>59098.517338869096</v>
      </c>
      <c r="F458">
        <v>1976</v>
      </c>
    </row>
    <row r="459" spans="1:6" x14ac:dyDescent="0.3">
      <c r="A459" s="1" t="s">
        <v>13</v>
      </c>
      <c r="B459" s="1" t="s">
        <v>7</v>
      </c>
      <c r="C459">
        <v>2024</v>
      </c>
      <c r="D459">
        <v>2</v>
      </c>
      <c r="E459">
        <v>45558.024554397678</v>
      </c>
      <c r="F459">
        <v>1484</v>
      </c>
    </row>
    <row r="460" spans="1:6" x14ac:dyDescent="0.3">
      <c r="A460" s="1" t="s">
        <v>13</v>
      </c>
      <c r="B460" s="1" t="s">
        <v>7</v>
      </c>
      <c r="C460">
        <v>2024</v>
      </c>
      <c r="D460">
        <v>3</v>
      </c>
      <c r="E460">
        <v>40941.092870766297</v>
      </c>
      <c r="F460">
        <v>1408</v>
      </c>
    </row>
    <row r="461" spans="1:6" x14ac:dyDescent="0.3">
      <c r="A461" s="1" t="s">
        <v>13</v>
      </c>
      <c r="B461" s="1" t="s">
        <v>7</v>
      </c>
      <c r="C461">
        <v>2024</v>
      </c>
      <c r="D461">
        <v>4</v>
      </c>
      <c r="E461">
        <v>71031.108750107203</v>
      </c>
      <c r="F461">
        <v>2316</v>
      </c>
    </row>
    <row r="462" spans="1:6" x14ac:dyDescent="0.3">
      <c r="A462" s="1" t="s">
        <v>13</v>
      </c>
      <c r="B462" s="1" t="s">
        <v>7</v>
      </c>
      <c r="C462">
        <v>2024</v>
      </c>
      <c r="D462">
        <v>5</v>
      </c>
      <c r="E462">
        <v>53876.930803867501</v>
      </c>
      <c r="F462">
        <v>1761</v>
      </c>
    </row>
    <row r="463" spans="1:6" x14ac:dyDescent="0.3">
      <c r="A463" s="1" t="s">
        <v>13</v>
      </c>
      <c r="B463" s="1" t="s">
        <v>7</v>
      </c>
      <c r="C463">
        <v>2024</v>
      </c>
      <c r="D463">
        <v>6</v>
      </c>
      <c r="E463">
        <v>52691.333662651901</v>
      </c>
      <c r="F463">
        <v>1802</v>
      </c>
    </row>
    <row r="464" spans="1:6" x14ac:dyDescent="0.3">
      <c r="A464" s="1" t="s">
        <v>13</v>
      </c>
      <c r="B464" s="1" t="s">
        <v>7</v>
      </c>
      <c r="C464">
        <v>2024</v>
      </c>
      <c r="D464">
        <v>7</v>
      </c>
      <c r="E464">
        <v>62089.310552007999</v>
      </c>
      <c r="F464">
        <v>2131</v>
      </c>
    </row>
    <row r="465" spans="1:6" x14ac:dyDescent="0.3">
      <c r="A465" s="1" t="s">
        <v>13</v>
      </c>
      <c r="B465" s="1" t="s">
        <v>7</v>
      </c>
      <c r="C465">
        <v>2024</v>
      </c>
      <c r="D465">
        <v>8</v>
      </c>
      <c r="E465">
        <v>48533.2877547237</v>
      </c>
      <c r="F465">
        <v>1598</v>
      </c>
    </row>
    <row r="466" spans="1:6" x14ac:dyDescent="0.3">
      <c r="A466" s="1" t="s">
        <v>13</v>
      </c>
      <c r="B466" s="1" t="s">
        <v>7</v>
      </c>
      <c r="C466">
        <v>2024</v>
      </c>
      <c r="D466">
        <v>9</v>
      </c>
      <c r="E466">
        <v>50369.189905934792</v>
      </c>
      <c r="F466">
        <v>1638</v>
      </c>
    </row>
    <row r="467" spans="1:6" x14ac:dyDescent="0.3">
      <c r="A467" s="1" t="s">
        <v>13</v>
      </c>
      <c r="B467" s="1" t="s">
        <v>7</v>
      </c>
      <c r="C467">
        <v>2024</v>
      </c>
      <c r="D467">
        <v>10</v>
      </c>
      <c r="E467">
        <v>59172.6057803886</v>
      </c>
      <c r="F467">
        <v>2024</v>
      </c>
    </row>
    <row r="468" spans="1:6" x14ac:dyDescent="0.3">
      <c r="A468" s="1" t="s">
        <v>13</v>
      </c>
      <c r="B468" s="1" t="s">
        <v>7</v>
      </c>
      <c r="C468">
        <v>2024</v>
      </c>
      <c r="D468">
        <v>11</v>
      </c>
      <c r="E468">
        <v>49310.160042591102</v>
      </c>
      <c r="F468">
        <v>1648</v>
      </c>
    </row>
    <row r="469" spans="1:6" x14ac:dyDescent="0.3">
      <c r="A469" s="1" t="s">
        <v>13</v>
      </c>
      <c r="B469" s="1" t="s">
        <v>7</v>
      </c>
      <c r="C469">
        <v>2024</v>
      </c>
      <c r="D469">
        <v>12</v>
      </c>
      <c r="E469">
        <v>72921.301964283804</v>
      </c>
      <c r="F469">
        <v>2443</v>
      </c>
    </row>
    <row r="470" spans="1:6" x14ac:dyDescent="0.3">
      <c r="A470" s="1" t="s">
        <v>13</v>
      </c>
      <c r="B470" s="1" t="s">
        <v>8</v>
      </c>
      <c r="C470">
        <v>2022</v>
      </c>
      <c r="D470">
        <v>1</v>
      </c>
      <c r="E470">
        <v>55612.664546188898</v>
      </c>
      <c r="F470">
        <v>1855</v>
      </c>
    </row>
    <row r="471" spans="1:6" x14ac:dyDescent="0.3">
      <c r="A471" s="1" t="s">
        <v>13</v>
      </c>
      <c r="B471" s="1" t="s">
        <v>8</v>
      </c>
      <c r="C471">
        <v>2022</v>
      </c>
      <c r="D471">
        <v>2</v>
      </c>
      <c r="E471">
        <v>64892.940329946505</v>
      </c>
      <c r="F471">
        <v>2136</v>
      </c>
    </row>
    <row r="472" spans="1:6" x14ac:dyDescent="0.3">
      <c r="A472" s="1" t="s">
        <v>13</v>
      </c>
      <c r="B472" s="1" t="s">
        <v>8</v>
      </c>
      <c r="C472">
        <v>2022</v>
      </c>
      <c r="D472">
        <v>3</v>
      </c>
      <c r="E472">
        <v>50637.194719314401</v>
      </c>
      <c r="F472">
        <v>1713</v>
      </c>
    </row>
    <row r="473" spans="1:6" x14ac:dyDescent="0.3">
      <c r="A473" s="1" t="s">
        <v>13</v>
      </c>
      <c r="B473" s="1" t="s">
        <v>8</v>
      </c>
      <c r="C473">
        <v>2022</v>
      </c>
      <c r="D473">
        <v>4</v>
      </c>
      <c r="E473">
        <v>69652.941741106595</v>
      </c>
      <c r="F473">
        <v>2276</v>
      </c>
    </row>
    <row r="474" spans="1:6" x14ac:dyDescent="0.3">
      <c r="A474" s="1" t="s">
        <v>13</v>
      </c>
      <c r="B474" s="1" t="s">
        <v>8</v>
      </c>
      <c r="C474">
        <v>2022</v>
      </c>
      <c r="D474">
        <v>5</v>
      </c>
      <c r="E474">
        <v>57310.685436186199</v>
      </c>
      <c r="F474">
        <v>1907</v>
      </c>
    </row>
    <row r="475" spans="1:6" x14ac:dyDescent="0.3">
      <c r="A475" s="1" t="s">
        <v>13</v>
      </c>
      <c r="B475" s="1" t="s">
        <v>8</v>
      </c>
      <c r="C475">
        <v>2022</v>
      </c>
      <c r="D475">
        <v>6</v>
      </c>
      <c r="E475">
        <v>66581.74766204301</v>
      </c>
      <c r="F475">
        <v>2212</v>
      </c>
    </row>
    <row r="476" spans="1:6" x14ac:dyDescent="0.3">
      <c r="A476" s="1" t="s">
        <v>13</v>
      </c>
      <c r="B476" s="1" t="s">
        <v>8</v>
      </c>
      <c r="C476">
        <v>2022</v>
      </c>
      <c r="D476">
        <v>7</v>
      </c>
      <c r="E476">
        <v>62896.464745318503</v>
      </c>
      <c r="F476">
        <v>2057</v>
      </c>
    </row>
    <row r="477" spans="1:6" x14ac:dyDescent="0.3">
      <c r="A477" s="1" t="s">
        <v>13</v>
      </c>
      <c r="B477" s="1" t="s">
        <v>8</v>
      </c>
      <c r="C477">
        <v>2022</v>
      </c>
      <c r="D477">
        <v>8</v>
      </c>
      <c r="E477">
        <v>73175.849052597507</v>
      </c>
      <c r="F477">
        <v>2461</v>
      </c>
    </row>
    <row r="478" spans="1:6" x14ac:dyDescent="0.3">
      <c r="A478" s="1" t="s">
        <v>13</v>
      </c>
      <c r="B478" s="1" t="s">
        <v>8</v>
      </c>
      <c r="C478">
        <v>2022</v>
      </c>
      <c r="D478">
        <v>9</v>
      </c>
      <c r="E478">
        <v>64315.286107884094</v>
      </c>
      <c r="F478">
        <v>2090</v>
      </c>
    </row>
    <row r="479" spans="1:6" x14ac:dyDescent="0.3">
      <c r="A479" s="1" t="s">
        <v>13</v>
      </c>
      <c r="B479" s="1" t="s">
        <v>8</v>
      </c>
      <c r="C479">
        <v>2022</v>
      </c>
      <c r="D479">
        <v>10</v>
      </c>
      <c r="E479">
        <v>67071.584534535708</v>
      </c>
      <c r="F479">
        <v>2191</v>
      </c>
    </row>
    <row r="480" spans="1:6" x14ac:dyDescent="0.3">
      <c r="A480" s="1" t="s">
        <v>13</v>
      </c>
      <c r="B480" s="1" t="s">
        <v>8</v>
      </c>
      <c r="C480">
        <v>2022</v>
      </c>
      <c r="D480">
        <v>11</v>
      </c>
      <c r="E480">
        <v>60065.961561192002</v>
      </c>
      <c r="F480">
        <v>2021</v>
      </c>
    </row>
    <row r="481" spans="1:6" x14ac:dyDescent="0.3">
      <c r="A481" s="1" t="s">
        <v>13</v>
      </c>
      <c r="B481" s="1" t="s">
        <v>8</v>
      </c>
      <c r="C481">
        <v>2022</v>
      </c>
      <c r="D481">
        <v>12</v>
      </c>
      <c r="E481">
        <v>75246.832345960502</v>
      </c>
      <c r="F481">
        <v>2570</v>
      </c>
    </row>
    <row r="482" spans="1:6" x14ac:dyDescent="0.3">
      <c r="A482" s="1" t="s">
        <v>13</v>
      </c>
      <c r="B482" s="1" t="s">
        <v>8</v>
      </c>
      <c r="C482">
        <v>2023</v>
      </c>
      <c r="D482">
        <v>1</v>
      </c>
      <c r="E482">
        <v>59267.640693603498</v>
      </c>
      <c r="F482">
        <v>2015</v>
      </c>
    </row>
    <row r="483" spans="1:6" x14ac:dyDescent="0.3">
      <c r="A483" s="1" t="s">
        <v>13</v>
      </c>
      <c r="B483" s="1" t="s">
        <v>8</v>
      </c>
      <c r="C483">
        <v>2023</v>
      </c>
      <c r="D483">
        <v>2</v>
      </c>
      <c r="E483">
        <v>52774.867321960905</v>
      </c>
      <c r="F483">
        <v>1735</v>
      </c>
    </row>
    <row r="484" spans="1:6" x14ac:dyDescent="0.3">
      <c r="A484" s="1" t="s">
        <v>13</v>
      </c>
      <c r="B484" s="1" t="s">
        <v>8</v>
      </c>
      <c r="C484">
        <v>2023</v>
      </c>
      <c r="D484">
        <v>3</v>
      </c>
      <c r="E484">
        <v>56322.659562014698</v>
      </c>
      <c r="F484">
        <v>1900</v>
      </c>
    </row>
    <row r="485" spans="1:6" x14ac:dyDescent="0.3">
      <c r="A485" s="1" t="s">
        <v>13</v>
      </c>
      <c r="B485" s="1" t="s">
        <v>8</v>
      </c>
      <c r="C485">
        <v>2023</v>
      </c>
      <c r="D485">
        <v>4</v>
      </c>
      <c r="E485">
        <v>62346.350820564097</v>
      </c>
      <c r="F485">
        <v>2055</v>
      </c>
    </row>
    <row r="486" spans="1:6" x14ac:dyDescent="0.3">
      <c r="A486" s="1" t="s">
        <v>13</v>
      </c>
      <c r="B486" s="1" t="s">
        <v>8</v>
      </c>
      <c r="C486">
        <v>2023</v>
      </c>
      <c r="D486">
        <v>5</v>
      </c>
      <c r="E486">
        <v>79372.333645268794</v>
      </c>
      <c r="F486">
        <v>2581</v>
      </c>
    </row>
    <row r="487" spans="1:6" x14ac:dyDescent="0.3">
      <c r="A487" s="1" t="s">
        <v>13</v>
      </c>
      <c r="B487" s="1" t="s">
        <v>8</v>
      </c>
      <c r="C487">
        <v>2023</v>
      </c>
      <c r="D487">
        <v>6</v>
      </c>
      <c r="E487">
        <v>66463.490514485107</v>
      </c>
      <c r="F487">
        <v>2205</v>
      </c>
    </row>
    <row r="488" spans="1:6" x14ac:dyDescent="0.3">
      <c r="A488" s="1" t="s">
        <v>13</v>
      </c>
      <c r="B488" s="1" t="s">
        <v>8</v>
      </c>
      <c r="C488">
        <v>2023</v>
      </c>
      <c r="D488">
        <v>7</v>
      </c>
      <c r="E488">
        <v>55429.238409165104</v>
      </c>
      <c r="F488">
        <v>1897</v>
      </c>
    </row>
    <row r="489" spans="1:6" x14ac:dyDescent="0.3">
      <c r="A489" s="1" t="s">
        <v>13</v>
      </c>
      <c r="B489" s="1" t="s">
        <v>8</v>
      </c>
      <c r="C489">
        <v>2023</v>
      </c>
      <c r="D489">
        <v>8</v>
      </c>
      <c r="E489">
        <v>61205.448425930896</v>
      </c>
      <c r="F489">
        <v>1981</v>
      </c>
    </row>
    <row r="490" spans="1:6" x14ac:dyDescent="0.3">
      <c r="A490" s="1" t="s">
        <v>13</v>
      </c>
      <c r="B490" s="1" t="s">
        <v>8</v>
      </c>
      <c r="C490">
        <v>2023</v>
      </c>
      <c r="D490">
        <v>9</v>
      </c>
      <c r="E490">
        <v>48906.475658008399</v>
      </c>
      <c r="F490">
        <v>1595</v>
      </c>
    </row>
    <row r="491" spans="1:6" x14ac:dyDescent="0.3">
      <c r="A491" s="1" t="s">
        <v>13</v>
      </c>
      <c r="B491" s="1" t="s">
        <v>8</v>
      </c>
      <c r="C491">
        <v>2023</v>
      </c>
      <c r="D491">
        <v>10</v>
      </c>
      <c r="E491">
        <v>66751.874413847196</v>
      </c>
      <c r="F491">
        <v>2223</v>
      </c>
    </row>
    <row r="492" spans="1:6" x14ac:dyDescent="0.3">
      <c r="A492" s="1" t="s">
        <v>13</v>
      </c>
      <c r="B492" s="1" t="s">
        <v>8</v>
      </c>
      <c r="C492">
        <v>2023</v>
      </c>
      <c r="D492">
        <v>11</v>
      </c>
      <c r="E492">
        <v>73507.851090347394</v>
      </c>
      <c r="F492">
        <v>2516</v>
      </c>
    </row>
    <row r="493" spans="1:6" x14ac:dyDescent="0.3">
      <c r="A493" s="1" t="s">
        <v>13</v>
      </c>
      <c r="B493" s="1" t="s">
        <v>8</v>
      </c>
      <c r="C493">
        <v>2023</v>
      </c>
      <c r="D493">
        <v>12</v>
      </c>
      <c r="E493">
        <v>53282.280467958204</v>
      </c>
      <c r="F493">
        <v>1757</v>
      </c>
    </row>
    <row r="494" spans="1:6" x14ac:dyDescent="0.3">
      <c r="A494" s="1" t="s">
        <v>13</v>
      </c>
      <c r="B494" s="1" t="s">
        <v>8</v>
      </c>
      <c r="C494">
        <v>2024</v>
      </c>
      <c r="D494">
        <v>1</v>
      </c>
      <c r="E494">
        <v>53660.639271255408</v>
      </c>
      <c r="F494">
        <v>1790</v>
      </c>
    </row>
    <row r="495" spans="1:6" x14ac:dyDescent="0.3">
      <c r="A495" s="1" t="s">
        <v>13</v>
      </c>
      <c r="B495" s="1" t="s">
        <v>8</v>
      </c>
      <c r="C495">
        <v>2024</v>
      </c>
      <c r="D495">
        <v>2</v>
      </c>
      <c r="E495">
        <v>59475.233611133503</v>
      </c>
      <c r="F495">
        <v>2028</v>
      </c>
    </row>
    <row r="496" spans="1:6" x14ac:dyDescent="0.3">
      <c r="A496" s="1" t="s">
        <v>13</v>
      </c>
      <c r="B496" s="1" t="s">
        <v>8</v>
      </c>
      <c r="C496">
        <v>2024</v>
      </c>
      <c r="D496">
        <v>3</v>
      </c>
      <c r="E496">
        <v>54855.866228115097</v>
      </c>
      <c r="F496">
        <v>1850</v>
      </c>
    </row>
    <row r="497" spans="1:6" x14ac:dyDescent="0.3">
      <c r="A497" s="1" t="s">
        <v>13</v>
      </c>
      <c r="B497" s="1" t="s">
        <v>8</v>
      </c>
      <c r="C497">
        <v>2024</v>
      </c>
      <c r="D497">
        <v>4</v>
      </c>
      <c r="E497">
        <v>68957.455694495904</v>
      </c>
      <c r="F497">
        <v>2276</v>
      </c>
    </row>
    <row r="498" spans="1:6" x14ac:dyDescent="0.3">
      <c r="A498" s="1" t="s">
        <v>13</v>
      </c>
      <c r="B498" s="1" t="s">
        <v>8</v>
      </c>
      <c r="C498">
        <v>2024</v>
      </c>
      <c r="D498">
        <v>5</v>
      </c>
      <c r="E498">
        <v>50629.464311957396</v>
      </c>
      <c r="F498">
        <v>1697</v>
      </c>
    </row>
    <row r="499" spans="1:6" x14ac:dyDescent="0.3">
      <c r="A499" s="1" t="s">
        <v>13</v>
      </c>
      <c r="B499" s="1" t="s">
        <v>8</v>
      </c>
      <c r="C499">
        <v>2024</v>
      </c>
      <c r="D499">
        <v>6</v>
      </c>
      <c r="E499">
        <v>72600.016142483102</v>
      </c>
      <c r="F499">
        <v>2384</v>
      </c>
    </row>
    <row r="500" spans="1:6" x14ac:dyDescent="0.3">
      <c r="A500" s="1" t="s">
        <v>13</v>
      </c>
      <c r="B500" s="1" t="s">
        <v>8</v>
      </c>
      <c r="C500">
        <v>2024</v>
      </c>
      <c r="D500">
        <v>7</v>
      </c>
      <c r="E500">
        <v>84224.368266461199</v>
      </c>
      <c r="F500">
        <v>2808</v>
      </c>
    </row>
    <row r="501" spans="1:6" x14ac:dyDescent="0.3">
      <c r="A501" s="1" t="s">
        <v>13</v>
      </c>
      <c r="B501" s="1" t="s">
        <v>8</v>
      </c>
      <c r="C501">
        <v>2024</v>
      </c>
      <c r="D501">
        <v>8</v>
      </c>
      <c r="E501">
        <v>74047.761895292904</v>
      </c>
      <c r="F501">
        <v>2484</v>
      </c>
    </row>
    <row r="502" spans="1:6" x14ac:dyDescent="0.3">
      <c r="A502" s="1" t="s">
        <v>13</v>
      </c>
      <c r="B502" s="1" t="s">
        <v>8</v>
      </c>
      <c r="C502">
        <v>2024</v>
      </c>
      <c r="D502">
        <v>9</v>
      </c>
      <c r="E502">
        <v>68377.621261792199</v>
      </c>
      <c r="F502">
        <v>2282</v>
      </c>
    </row>
    <row r="503" spans="1:6" x14ac:dyDescent="0.3">
      <c r="A503" s="1" t="s">
        <v>13</v>
      </c>
      <c r="B503" s="1" t="s">
        <v>8</v>
      </c>
      <c r="C503">
        <v>2024</v>
      </c>
      <c r="D503">
        <v>10</v>
      </c>
      <c r="E503">
        <v>79186.288446825405</v>
      </c>
      <c r="F503">
        <v>2592</v>
      </c>
    </row>
    <row r="504" spans="1:6" x14ac:dyDescent="0.3">
      <c r="A504" s="1" t="s">
        <v>13</v>
      </c>
      <c r="B504" s="1" t="s">
        <v>8</v>
      </c>
      <c r="C504">
        <v>2024</v>
      </c>
      <c r="D504">
        <v>11</v>
      </c>
      <c r="E504">
        <v>62897.379841052301</v>
      </c>
      <c r="F504">
        <v>2099</v>
      </c>
    </row>
    <row r="505" spans="1:6" x14ac:dyDescent="0.3">
      <c r="A505" s="1" t="s">
        <v>13</v>
      </c>
      <c r="B505" s="1" t="s">
        <v>8</v>
      </c>
      <c r="C505">
        <v>2024</v>
      </c>
      <c r="D505">
        <v>12</v>
      </c>
      <c r="E505">
        <v>65321.171935607097</v>
      </c>
      <c r="F505">
        <v>2123</v>
      </c>
    </row>
    <row r="506" spans="1:6" x14ac:dyDescent="0.3">
      <c r="A506" s="1" t="s">
        <v>13</v>
      </c>
      <c r="B506" s="1" t="s">
        <v>9</v>
      </c>
      <c r="C506">
        <v>2022</v>
      </c>
      <c r="D506">
        <v>1</v>
      </c>
      <c r="E506">
        <v>29810.77018876743</v>
      </c>
      <c r="F506">
        <v>1012</v>
      </c>
    </row>
    <row r="507" spans="1:6" x14ac:dyDescent="0.3">
      <c r="A507" s="1" t="s">
        <v>13</v>
      </c>
      <c r="B507" s="1" t="s">
        <v>9</v>
      </c>
      <c r="C507">
        <v>2022</v>
      </c>
      <c r="D507">
        <v>2</v>
      </c>
      <c r="E507">
        <v>36288.347280751434</v>
      </c>
      <c r="F507">
        <v>1186</v>
      </c>
    </row>
    <row r="508" spans="1:6" x14ac:dyDescent="0.3">
      <c r="A508" s="1" t="s">
        <v>13</v>
      </c>
      <c r="B508" s="1" t="s">
        <v>9</v>
      </c>
      <c r="C508">
        <v>2022</v>
      </c>
      <c r="D508">
        <v>3</v>
      </c>
      <c r="E508">
        <v>43108.3815933109</v>
      </c>
      <c r="F508">
        <v>1421</v>
      </c>
    </row>
    <row r="509" spans="1:6" x14ac:dyDescent="0.3">
      <c r="A509" s="1" t="s">
        <v>13</v>
      </c>
      <c r="B509" s="1" t="s">
        <v>9</v>
      </c>
      <c r="C509">
        <v>2022</v>
      </c>
      <c r="D509">
        <v>4</v>
      </c>
      <c r="E509">
        <v>41351.829806670066</v>
      </c>
      <c r="F509">
        <v>1420</v>
      </c>
    </row>
    <row r="510" spans="1:6" x14ac:dyDescent="0.3">
      <c r="A510" s="1" t="s">
        <v>13</v>
      </c>
      <c r="B510" s="1" t="s">
        <v>9</v>
      </c>
      <c r="C510">
        <v>2022</v>
      </c>
      <c r="D510">
        <v>5</v>
      </c>
      <c r="E510">
        <v>39113.492804011505</v>
      </c>
      <c r="F510">
        <v>1277</v>
      </c>
    </row>
    <row r="511" spans="1:6" x14ac:dyDescent="0.3">
      <c r="A511" s="1" t="s">
        <v>13</v>
      </c>
      <c r="B511" s="1" t="s">
        <v>9</v>
      </c>
      <c r="C511">
        <v>2022</v>
      </c>
      <c r="D511">
        <v>6</v>
      </c>
      <c r="E511">
        <v>44235.446168431299</v>
      </c>
      <c r="F511">
        <v>1451</v>
      </c>
    </row>
    <row r="512" spans="1:6" x14ac:dyDescent="0.3">
      <c r="A512" s="1" t="s">
        <v>13</v>
      </c>
      <c r="B512" s="1" t="s">
        <v>9</v>
      </c>
      <c r="C512">
        <v>2022</v>
      </c>
      <c r="D512">
        <v>7</v>
      </c>
      <c r="E512">
        <v>32724.184050824479</v>
      </c>
      <c r="F512">
        <v>1089</v>
      </c>
    </row>
    <row r="513" spans="1:6" x14ac:dyDescent="0.3">
      <c r="A513" s="1" t="s">
        <v>13</v>
      </c>
      <c r="B513" s="1" t="s">
        <v>9</v>
      </c>
      <c r="C513">
        <v>2022</v>
      </c>
      <c r="D513">
        <v>8</v>
      </c>
      <c r="E513">
        <v>31942.099882752689</v>
      </c>
      <c r="F513">
        <v>1088</v>
      </c>
    </row>
    <row r="514" spans="1:6" x14ac:dyDescent="0.3">
      <c r="A514" s="1" t="s">
        <v>13</v>
      </c>
      <c r="B514" s="1" t="s">
        <v>9</v>
      </c>
      <c r="C514">
        <v>2022</v>
      </c>
      <c r="D514">
        <v>9</v>
      </c>
      <c r="E514">
        <v>25370.889060597601</v>
      </c>
      <c r="F514">
        <v>848</v>
      </c>
    </row>
    <row r="515" spans="1:6" x14ac:dyDescent="0.3">
      <c r="A515" s="1" t="s">
        <v>13</v>
      </c>
      <c r="B515" s="1" t="s">
        <v>9</v>
      </c>
      <c r="C515">
        <v>2022</v>
      </c>
      <c r="D515">
        <v>10</v>
      </c>
      <c r="E515">
        <v>36954.876403188799</v>
      </c>
      <c r="F515">
        <v>1237</v>
      </c>
    </row>
    <row r="516" spans="1:6" x14ac:dyDescent="0.3">
      <c r="A516" s="1" t="s">
        <v>13</v>
      </c>
      <c r="B516" s="1" t="s">
        <v>9</v>
      </c>
      <c r="C516">
        <v>2022</v>
      </c>
      <c r="D516">
        <v>11</v>
      </c>
      <c r="E516">
        <v>38748.875443972953</v>
      </c>
      <c r="F516">
        <v>1280</v>
      </c>
    </row>
    <row r="517" spans="1:6" x14ac:dyDescent="0.3">
      <c r="A517" s="1" t="s">
        <v>13</v>
      </c>
      <c r="B517" s="1" t="s">
        <v>9</v>
      </c>
      <c r="C517">
        <v>2022</v>
      </c>
      <c r="D517">
        <v>12</v>
      </c>
      <c r="E517">
        <v>43223.205188927735</v>
      </c>
      <c r="F517">
        <v>1446</v>
      </c>
    </row>
    <row r="518" spans="1:6" x14ac:dyDescent="0.3">
      <c r="A518" s="1" t="s">
        <v>13</v>
      </c>
      <c r="B518" s="1" t="s">
        <v>9</v>
      </c>
      <c r="C518">
        <v>2023</v>
      </c>
      <c r="D518">
        <v>1</v>
      </c>
      <c r="E518">
        <v>43437.507718328408</v>
      </c>
      <c r="F518">
        <v>1420</v>
      </c>
    </row>
    <row r="519" spans="1:6" x14ac:dyDescent="0.3">
      <c r="A519" s="1" t="s">
        <v>13</v>
      </c>
      <c r="B519" s="1" t="s">
        <v>9</v>
      </c>
      <c r="C519">
        <v>2023</v>
      </c>
      <c r="D519">
        <v>2</v>
      </c>
      <c r="E519">
        <v>45938.498467323399</v>
      </c>
      <c r="F519">
        <v>1565</v>
      </c>
    </row>
    <row r="520" spans="1:6" x14ac:dyDescent="0.3">
      <c r="A520" s="1" t="s">
        <v>13</v>
      </c>
      <c r="B520" s="1" t="s">
        <v>9</v>
      </c>
      <c r="C520">
        <v>2023</v>
      </c>
      <c r="D520">
        <v>3</v>
      </c>
      <c r="E520">
        <v>35980.309472726978</v>
      </c>
      <c r="F520">
        <v>1211</v>
      </c>
    </row>
    <row r="521" spans="1:6" x14ac:dyDescent="0.3">
      <c r="A521" s="1" t="s">
        <v>13</v>
      </c>
      <c r="B521" s="1" t="s">
        <v>9</v>
      </c>
      <c r="C521">
        <v>2023</v>
      </c>
      <c r="D521">
        <v>4</v>
      </c>
      <c r="E521">
        <v>37951.229647213171</v>
      </c>
      <c r="F521">
        <v>1256</v>
      </c>
    </row>
    <row r="522" spans="1:6" x14ac:dyDescent="0.3">
      <c r="A522" s="1" t="s">
        <v>13</v>
      </c>
      <c r="B522" s="1" t="s">
        <v>9</v>
      </c>
      <c r="C522">
        <v>2023</v>
      </c>
      <c r="D522">
        <v>5</v>
      </c>
      <c r="E522">
        <v>38385.736933440698</v>
      </c>
      <c r="F522">
        <v>1308</v>
      </c>
    </row>
    <row r="523" spans="1:6" x14ac:dyDescent="0.3">
      <c r="A523" s="1" t="s">
        <v>13</v>
      </c>
      <c r="B523" s="1" t="s">
        <v>9</v>
      </c>
      <c r="C523">
        <v>2023</v>
      </c>
      <c r="D523">
        <v>6</v>
      </c>
      <c r="E523">
        <v>44490.395325402103</v>
      </c>
      <c r="F523">
        <v>1483</v>
      </c>
    </row>
    <row r="524" spans="1:6" x14ac:dyDescent="0.3">
      <c r="A524" s="1" t="s">
        <v>13</v>
      </c>
      <c r="B524" s="1" t="s">
        <v>9</v>
      </c>
      <c r="C524">
        <v>2023</v>
      </c>
      <c r="D524">
        <v>7</v>
      </c>
      <c r="E524">
        <v>36375.983375258322</v>
      </c>
      <c r="F524">
        <v>1223</v>
      </c>
    </row>
    <row r="525" spans="1:6" x14ac:dyDescent="0.3">
      <c r="A525" s="1" t="s">
        <v>13</v>
      </c>
      <c r="B525" s="1" t="s">
        <v>9</v>
      </c>
      <c r="C525">
        <v>2023</v>
      </c>
      <c r="D525">
        <v>8</v>
      </c>
      <c r="E525">
        <v>42647.684720102501</v>
      </c>
      <c r="F525">
        <v>1425</v>
      </c>
    </row>
    <row r="526" spans="1:6" x14ac:dyDescent="0.3">
      <c r="A526" s="1" t="s">
        <v>13</v>
      </c>
      <c r="B526" s="1" t="s">
        <v>9</v>
      </c>
      <c r="C526">
        <v>2023</v>
      </c>
      <c r="D526">
        <v>9</v>
      </c>
      <c r="E526">
        <v>38885.015691006804</v>
      </c>
      <c r="F526">
        <v>1302</v>
      </c>
    </row>
    <row r="527" spans="1:6" x14ac:dyDescent="0.3">
      <c r="A527" s="1" t="s">
        <v>13</v>
      </c>
      <c r="B527" s="1" t="s">
        <v>9</v>
      </c>
      <c r="C527">
        <v>2023</v>
      </c>
      <c r="D527">
        <v>10</v>
      </c>
      <c r="E527">
        <v>42117.582902771239</v>
      </c>
      <c r="F527">
        <v>1404</v>
      </c>
    </row>
    <row r="528" spans="1:6" x14ac:dyDescent="0.3">
      <c r="A528" s="1" t="s">
        <v>13</v>
      </c>
      <c r="B528" s="1" t="s">
        <v>9</v>
      </c>
      <c r="C528">
        <v>2023</v>
      </c>
      <c r="D528">
        <v>11</v>
      </c>
      <c r="E528">
        <v>44249.517950337802</v>
      </c>
      <c r="F528">
        <v>1419</v>
      </c>
    </row>
    <row r="529" spans="1:6" x14ac:dyDescent="0.3">
      <c r="A529" s="1" t="s">
        <v>13</v>
      </c>
      <c r="B529" s="1" t="s">
        <v>9</v>
      </c>
      <c r="C529">
        <v>2023</v>
      </c>
      <c r="D529">
        <v>12</v>
      </c>
      <c r="E529">
        <v>40517.947298005645</v>
      </c>
      <c r="F529">
        <v>1352</v>
      </c>
    </row>
    <row r="530" spans="1:6" x14ac:dyDescent="0.3">
      <c r="A530" s="1" t="s">
        <v>13</v>
      </c>
      <c r="B530" s="1" t="s">
        <v>9</v>
      </c>
      <c r="C530">
        <v>2024</v>
      </c>
      <c r="D530">
        <v>1</v>
      </c>
      <c r="E530">
        <v>37300.813609445002</v>
      </c>
      <c r="F530">
        <v>1255</v>
      </c>
    </row>
    <row r="531" spans="1:6" x14ac:dyDescent="0.3">
      <c r="A531" s="1" t="s">
        <v>13</v>
      </c>
      <c r="B531" s="1" t="s">
        <v>9</v>
      </c>
      <c r="C531">
        <v>2024</v>
      </c>
      <c r="D531">
        <v>2</v>
      </c>
      <c r="E531">
        <v>31017.725430986382</v>
      </c>
      <c r="F531">
        <v>1067</v>
      </c>
    </row>
    <row r="532" spans="1:6" x14ac:dyDescent="0.3">
      <c r="A532" s="1" t="s">
        <v>13</v>
      </c>
      <c r="B532" s="1" t="s">
        <v>9</v>
      </c>
      <c r="C532">
        <v>2024</v>
      </c>
      <c r="D532">
        <v>3</v>
      </c>
      <c r="E532">
        <v>45947.988183586203</v>
      </c>
      <c r="F532">
        <v>1557</v>
      </c>
    </row>
    <row r="533" spans="1:6" x14ac:dyDescent="0.3">
      <c r="A533" s="1" t="s">
        <v>13</v>
      </c>
      <c r="B533" s="1" t="s">
        <v>9</v>
      </c>
      <c r="C533">
        <v>2024</v>
      </c>
      <c r="D533">
        <v>4</v>
      </c>
      <c r="E533">
        <v>33869.997089584664</v>
      </c>
      <c r="F533">
        <v>1119</v>
      </c>
    </row>
    <row r="534" spans="1:6" x14ac:dyDescent="0.3">
      <c r="A534" s="1" t="s">
        <v>13</v>
      </c>
      <c r="B534" s="1" t="s">
        <v>9</v>
      </c>
      <c r="C534">
        <v>2024</v>
      </c>
      <c r="D534">
        <v>5</v>
      </c>
      <c r="E534">
        <v>35696.005869305729</v>
      </c>
      <c r="F534">
        <v>1171</v>
      </c>
    </row>
    <row r="535" spans="1:6" x14ac:dyDescent="0.3">
      <c r="A535" s="1" t="s">
        <v>13</v>
      </c>
      <c r="B535" s="1" t="s">
        <v>9</v>
      </c>
      <c r="C535">
        <v>2024</v>
      </c>
      <c r="D535">
        <v>6</v>
      </c>
      <c r="E535">
        <v>44314.335359305871</v>
      </c>
      <c r="F535">
        <v>1476</v>
      </c>
    </row>
    <row r="536" spans="1:6" x14ac:dyDescent="0.3">
      <c r="A536" s="1" t="s">
        <v>13</v>
      </c>
      <c r="B536" s="1" t="s">
        <v>9</v>
      </c>
      <c r="C536">
        <v>2024</v>
      </c>
      <c r="D536">
        <v>7</v>
      </c>
      <c r="E536">
        <v>30192.638019041413</v>
      </c>
      <c r="F536">
        <v>991</v>
      </c>
    </row>
    <row r="537" spans="1:6" x14ac:dyDescent="0.3">
      <c r="A537" s="1" t="s">
        <v>13</v>
      </c>
      <c r="B537" s="1" t="s">
        <v>9</v>
      </c>
      <c r="C537">
        <v>2024</v>
      </c>
      <c r="D537">
        <v>8</v>
      </c>
      <c r="E537">
        <v>40531.6478809705</v>
      </c>
      <c r="F537">
        <v>1364</v>
      </c>
    </row>
    <row r="538" spans="1:6" x14ac:dyDescent="0.3">
      <c r="A538" s="1" t="s">
        <v>13</v>
      </c>
      <c r="B538" s="1" t="s">
        <v>9</v>
      </c>
      <c r="C538">
        <v>2024</v>
      </c>
      <c r="D538">
        <v>9</v>
      </c>
      <c r="E538">
        <v>32240.727842016648</v>
      </c>
      <c r="F538">
        <v>1072</v>
      </c>
    </row>
    <row r="539" spans="1:6" x14ac:dyDescent="0.3">
      <c r="A539" s="1" t="s">
        <v>13</v>
      </c>
      <c r="B539" s="1" t="s">
        <v>9</v>
      </c>
      <c r="C539">
        <v>2024</v>
      </c>
      <c r="D539">
        <v>10</v>
      </c>
      <c r="E539">
        <v>42352.984589617001</v>
      </c>
      <c r="F539">
        <v>1439</v>
      </c>
    </row>
    <row r="540" spans="1:6" x14ac:dyDescent="0.3">
      <c r="A540" s="1" t="s">
        <v>13</v>
      </c>
      <c r="B540" s="1" t="s">
        <v>9</v>
      </c>
      <c r="C540">
        <v>2024</v>
      </c>
      <c r="D540">
        <v>11</v>
      </c>
      <c r="E540">
        <v>36002.8518130593</v>
      </c>
      <c r="F540">
        <v>1182</v>
      </c>
    </row>
    <row r="541" spans="1:6" x14ac:dyDescent="0.3">
      <c r="A541" s="1" t="s">
        <v>13</v>
      </c>
      <c r="B541" s="1" t="s">
        <v>9</v>
      </c>
      <c r="C541">
        <v>2024</v>
      </c>
      <c r="D541">
        <v>12</v>
      </c>
      <c r="E541">
        <v>40728.545282527324</v>
      </c>
      <c r="F541">
        <v>1381</v>
      </c>
    </row>
    <row r="542" spans="1:6" x14ac:dyDescent="0.3">
      <c r="A542" s="1" t="s">
        <v>13</v>
      </c>
      <c r="B542" s="1" t="s">
        <v>10</v>
      </c>
      <c r="C542">
        <v>2022</v>
      </c>
      <c r="D542">
        <v>1</v>
      </c>
      <c r="E542">
        <v>36306.2646071208</v>
      </c>
      <c r="F542">
        <v>1202</v>
      </c>
    </row>
    <row r="543" spans="1:6" x14ac:dyDescent="0.3">
      <c r="A543" s="1" t="s">
        <v>13</v>
      </c>
      <c r="B543" s="1" t="s">
        <v>10</v>
      </c>
      <c r="C543">
        <v>2022</v>
      </c>
      <c r="D543">
        <v>2</v>
      </c>
      <c r="E543">
        <v>48448.496639319281</v>
      </c>
      <c r="F543">
        <v>1635</v>
      </c>
    </row>
    <row r="544" spans="1:6" x14ac:dyDescent="0.3">
      <c r="A544" s="1" t="s">
        <v>13</v>
      </c>
      <c r="B544" s="1" t="s">
        <v>10</v>
      </c>
      <c r="C544">
        <v>2022</v>
      </c>
      <c r="D544">
        <v>3</v>
      </c>
      <c r="E544">
        <v>48667.129043523702</v>
      </c>
      <c r="F544">
        <v>1605</v>
      </c>
    </row>
    <row r="545" spans="1:6" x14ac:dyDescent="0.3">
      <c r="A545" s="1" t="s">
        <v>13</v>
      </c>
      <c r="B545" s="1" t="s">
        <v>10</v>
      </c>
      <c r="C545">
        <v>2022</v>
      </c>
      <c r="D545">
        <v>4</v>
      </c>
      <c r="E545">
        <v>41646.814283668034</v>
      </c>
      <c r="F545">
        <v>1410</v>
      </c>
    </row>
    <row r="546" spans="1:6" x14ac:dyDescent="0.3">
      <c r="A546" s="1" t="s">
        <v>13</v>
      </c>
      <c r="B546" s="1" t="s">
        <v>10</v>
      </c>
      <c r="C546">
        <v>2022</v>
      </c>
      <c r="D546">
        <v>5</v>
      </c>
      <c r="E546">
        <v>47570.580791710803</v>
      </c>
      <c r="F546">
        <v>1604</v>
      </c>
    </row>
    <row r="547" spans="1:6" x14ac:dyDescent="0.3">
      <c r="A547" s="1" t="s">
        <v>13</v>
      </c>
      <c r="B547" s="1" t="s">
        <v>10</v>
      </c>
      <c r="C547">
        <v>2022</v>
      </c>
      <c r="D547">
        <v>6</v>
      </c>
      <c r="E547">
        <v>48057.047163883064</v>
      </c>
      <c r="F547">
        <v>1579</v>
      </c>
    </row>
    <row r="548" spans="1:6" x14ac:dyDescent="0.3">
      <c r="A548" s="1" t="s">
        <v>13</v>
      </c>
      <c r="B548" s="1" t="s">
        <v>10</v>
      </c>
      <c r="C548">
        <v>2022</v>
      </c>
      <c r="D548">
        <v>7</v>
      </c>
      <c r="E548">
        <v>45383.788615018202</v>
      </c>
      <c r="F548">
        <v>1469</v>
      </c>
    </row>
    <row r="549" spans="1:6" x14ac:dyDescent="0.3">
      <c r="A549" s="1" t="s">
        <v>13</v>
      </c>
      <c r="B549" s="1" t="s">
        <v>10</v>
      </c>
      <c r="C549">
        <v>2022</v>
      </c>
      <c r="D549">
        <v>8</v>
      </c>
      <c r="E549">
        <v>44431.873355048003</v>
      </c>
      <c r="F549">
        <v>1489</v>
      </c>
    </row>
    <row r="550" spans="1:6" x14ac:dyDescent="0.3">
      <c r="A550" s="1" t="s">
        <v>13</v>
      </c>
      <c r="B550" s="1" t="s">
        <v>10</v>
      </c>
      <c r="C550">
        <v>2022</v>
      </c>
      <c r="D550">
        <v>9</v>
      </c>
      <c r="E550">
        <v>51721.377781691444</v>
      </c>
      <c r="F550">
        <v>1740</v>
      </c>
    </row>
    <row r="551" spans="1:6" x14ac:dyDescent="0.3">
      <c r="A551" s="1" t="s">
        <v>13</v>
      </c>
      <c r="B551" s="1" t="s">
        <v>10</v>
      </c>
      <c r="C551">
        <v>2022</v>
      </c>
      <c r="D551">
        <v>10</v>
      </c>
      <c r="E551">
        <v>56490.761505846902</v>
      </c>
      <c r="F551">
        <v>1932</v>
      </c>
    </row>
    <row r="552" spans="1:6" x14ac:dyDescent="0.3">
      <c r="A552" s="1" t="s">
        <v>13</v>
      </c>
      <c r="B552" s="1" t="s">
        <v>10</v>
      </c>
      <c r="C552">
        <v>2022</v>
      </c>
      <c r="D552">
        <v>11</v>
      </c>
      <c r="E552">
        <v>40991.430860674896</v>
      </c>
      <c r="F552">
        <v>1342</v>
      </c>
    </row>
    <row r="553" spans="1:6" x14ac:dyDescent="0.3">
      <c r="A553" s="1" t="s">
        <v>13</v>
      </c>
      <c r="B553" s="1" t="s">
        <v>10</v>
      </c>
      <c r="C553">
        <v>2022</v>
      </c>
      <c r="D553">
        <v>12</v>
      </c>
      <c r="E553">
        <v>55393.7310405811</v>
      </c>
      <c r="F553">
        <v>1848</v>
      </c>
    </row>
    <row r="554" spans="1:6" x14ac:dyDescent="0.3">
      <c r="A554" s="1" t="s">
        <v>13</v>
      </c>
      <c r="B554" s="1" t="s">
        <v>10</v>
      </c>
      <c r="C554">
        <v>2023</v>
      </c>
      <c r="D554">
        <v>1</v>
      </c>
      <c r="E554">
        <v>60777.882965260607</v>
      </c>
      <c r="F554">
        <v>1967</v>
      </c>
    </row>
    <row r="555" spans="1:6" x14ac:dyDescent="0.3">
      <c r="A555" s="1" t="s">
        <v>13</v>
      </c>
      <c r="B555" s="1" t="s">
        <v>10</v>
      </c>
      <c r="C555">
        <v>2023</v>
      </c>
      <c r="D555">
        <v>2</v>
      </c>
      <c r="E555">
        <v>37006.579151281148</v>
      </c>
      <c r="F555">
        <v>1213</v>
      </c>
    </row>
    <row r="556" spans="1:6" x14ac:dyDescent="0.3">
      <c r="A556" s="1" t="s">
        <v>13</v>
      </c>
      <c r="B556" s="1" t="s">
        <v>10</v>
      </c>
      <c r="C556">
        <v>2023</v>
      </c>
      <c r="D556">
        <v>3</v>
      </c>
      <c r="E556">
        <v>50755.150453467897</v>
      </c>
      <c r="F556">
        <v>1718</v>
      </c>
    </row>
    <row r="557" spans="1:6" x14ac:dyDescent="0.3">
      <c r="A557" s="1" t="s">
        <v>13</v>
      </c>
      <c r="B557" s="1" t="s">
        <v>10</v>
      </c>
      <c r="C557">
        <v>2023</v>
      </c>
      <c r="D557">
        <v>4</v>
      </c>
      <c r="E557">
        <v>54138.6510781947</v>
      </c>
      <c r="F557">
        <v>1791</v>
      </c>
    </row>
    <row r="558" spans="1:6" x14ac:dyDescent="0.3">
      <c r="A558" s="1" t="s">
        <v>13</v>
      </c>
      <c r="B558" s="1" t="s">
        <v>10</v>
      </c>
      <c r="C558">
        <v>2023</v>
      </c>
      <c r="D558">
        <v>5</v>
      </c>
      <c r="E558">
        <v>57957.905056000403</v>
      </c>
      <c r="F558">
        <v>1929</v>
      </c>
    </row>
    <row r="559" spans="1:6" x14ac:dyDescent="0.3">
      <c r="A559" s="1" t="s">
        <v>13</v>
      </c>
      <c r="B559" s="1" t="s">
        <v>10</v>
      </c>
      <c r="C559">
        <v>2023</v>
      </c>
      <c r="D559">
        <v>6</v>
      </c>
      <c r="E559">
        <v>52438.988445101801</v>
      </c>
      <c r="F559">
        <v>1791</v>
      </c>
    </row>
    <row r="560" spans="1:6" x14ac:dyDescent="0.3">
      <c r="A560" s="1" t="s">
        <v>13</v>
      </c>
      <c r="B560" s="1" t="s">
        <v>10</v>
      </c>
      <c r="C560">
        <v>2023</v>
      </c>
      <c r="D560">
        <v>7</v>
      </c>
      <c r="E560">
        <v>36549.761514079299</v>
      </c>
      <c r="F560">
        <v>1218</v>
      </c>
    </row>
    <row r="561" spans="1:6" x14ac:dyDescent="0.3">
      <c r="A561" s="1" t="s">
        <v>13</v>
      </c>
      <c r="B561" s="1" t="s">
        <v>10</v>
      </c>
      <c r="C561">
        <v>2023</v>
      </c>
      <c r="D561">
        <v>8</v>
      </c>
      <c r="E561">
        <v>57916.071251124187</v>
      </c>
      <c r="F561">
        <v>1906</v>
      </c>
    </row>
    <row r="562" spans="1:6" x14ac:dyDescent="0.3">
      <c r="A562" s="1" t="s">
        <v>13</v>
      </c>
      <c r="B562" s="1" t="s">
        <v>10</v>
      </c>
      <c r="C562">
        <v>2023</v>
      </c>
      <c r="D562">
        <v>9</v>
      </c>
      <c r="E562">
        <v>36087.4799144387</v>
      </c>
      <c r="F562">
        <v>1170</v>
      </c>
    </row>
    <row r="563" spans="1:6" x14ac:dyDescent="0.3">
      <c r="A563" s="1" t="s">
        <v>13</v>
      </c>
      <c r="B563" s="1" t="s">
        <v>10</v>
      </c>
      <c r="C563">
        <v>2023</v>
      </c>
      <c r="D563">
        <v>10</v>
      </c>
      <c r="E563">
        <v>61584.284744432196</v>
      </c>
      <c r="F563">
        <v>2019</v>
      </c>
    </row>
    <row r="564" spans="1:6" x14ac:dyDescent="0.3">
      <c r="A564" s="1" t="s">
        <v>13</v>
      </c>
      <c r="B564" s="1" t="s">
        <v>10</v>
      </c>
      <c r="C564">
        <v>2023</v>
      </c>
      <c r="D564">
        <v>11</v>
      </c>
      <c r="E564">
        <v>51262.840330591898</v>
      </c>
      <c r="F564">
        <v>1740</v>
      </c>
    </row>
    <row r="565" spans="1:6" x14ac:dyDescent="0.3">
      <c r="A565" s="1" t="s">
        <v>13</v>
      </c>
      <c r="B565" s="1" t="s">
        <v>10</v>
      </c>
      <c r="C565">
        <v>2023</v>
      </c>
      <c r="D565">
        <v>12</v>
      </c>
      <c r="E565">
        <v>53061.145339112903</v>
      </c>
      <c r="F565">
        <v>1796</v>
      </c>
    </row>
    <row r="566" spans="1:6" x14ac:dyDescent="0.3">
      <c r="A566" s="1" t="s">
        <v>13</v>
      </c>
      <c r="B566" s="1" t="s">
        <v>10</v>
      </c>
      <c r="C566">
        <v>2024</v>
      </c>
      <c r="D566">
        <v>1</v>
      </c>
      <c r="E566">
        <v>37236.954215572601</v>
      </c>
      <c r="F566">
        <v>1283</v>
      </c>
    </row>
    <row r="567" spans="1:6" x14ac:dyDescent="0.3">
      <c r="A567" s="1" t="s">
        <v>13</v>
      </c>
      <c r="B567" s="1" t="s">
        <v>10</v>
      </c>
      <c r="C567">
        <v>2024</v>
      </c>
      <c r="D567">
        <v>2</v>
      </c>
      <c r="E567">
        <v>39890.823192860902</v>
      </c>
      <c r="F567">
        <v>1345</v>
      </c>
    </row>
    <row r="568" spans="1:6" x14ac:dyDescent="0.3">
      <c r="A568" s="1" t="s">
        <v>13</v>
      </c>
      <c r="B568" s="1" t="s">
        <v>10</v>
      </c>
      <c r="C568">
        <v>2024</v>
      </c>
      <c r="D568">
        <v>3</v>
      </c>
      <c r="E568">
        <v>56059.863693895299</v>
      </c>
      <c r="F568">
        <v>1897</v>
      </c>
    </row>
    <row r="569" spans="1:6" x14ac:dyDescent="0.3">
      <c r="A569" s="1" t="s">
        <v>13</v>
      </c>
      <c r="B569" s="1" t="s">
        <v>10</v>
      </c>
      <c r="C569">
        <v>2024</v>
      </c>
      <c r="D569">
        <v>4</v>
      </c>
      <c r="E569">
        <v>55584.153724845899</v>
      </c>
      <c r="F569">
        <v>1851</v>
      </c>
    </row>
    <row r="570" spans="1:6" x14ac:dyDescent="0.3">
      <c r="A570" s="1" t="s">
        <v>13</v>
      </c>
      <c r="B570" s="1" t="s">
        <v>10</v>
      </c>
      <c r="C570">
        <v>2024</v>
      </c>
      <c r="D570">
        <v>5</v>
      </c>
      <c r="E570">
        <v>53464.657421682205</v>
      </c>
      <c r="F570">
        <v>1783</v>
      </c>
    </row>
    <row r="571" spans="1:6" x14ac:dyDescent="0.3">
      <c r="A571" s="1" t="s">
        <v>13</v>
      </c>
      <c r="B571" s="1" t="s">
        <v>10</v>
      </c>
      <c r="C571">
        <v>2024</v>
      </c>
      <c r="D571">
        <v>6</v>
      </c>
      <c r="E571">
        <v>51779.425398241001</v>
      </c>
      <c r="F571">
        <v>1719</v>
      </c>
    </row>
    <row r="572" spans="1:6" x14ac:dyDescent="0.3">
      <c r="A572" s="1" t="s">
        <v>13</v>
      </c>
      <c r="B572" s="1" t="s">
        <v>10</v>
      </c>
      <c r="C572">
        <v>2024</v>
      </c>
      <c r="D572">
        <v>7</v>
      </c>
      <c r="E572">
        <v>46572.873566941984</v>
      </c>
      <c r="F572">
        <v>1523</v>
      </c>
    </row>
    <row r="573" spans="1:6" x14ac:dyDescent="0.3">
      <c r="A573" s="1" t="s">
        <v>13</v>
      </c>
      <c r="B573" s="1" t="s">
        <v>10</v>
      </c>
      <c r="C573">
        <v>2024</v>
      </c>
      <c r="D573">
        <v>8</v>
      </c>
      <c r="E573">
        <v>39969.516574253299</v>
      </c>
      <c r="F573">
        <v>1355</v>
      </c>
    </row>
    <row r="574" spans="1:6" x14ac:dyDescent="0.3">
      <c r="A574" s="1" t="s">
        <v>13</v>
      </c>
      <c r="B574" s="1" t="s">
        <v>10</v>
      </c>
      <c r="C574">
        <v>2024</v>
      </c>
      <c r="D574">
        <v>9</v>
      </c>
      <c r="E574">
        <v>42705.7549313852</v>
      </c>
      <c r="F574">
        <v>1434</v>
      </c>
    </row>
    <row r="575" spans="1:6" x14ac:dyDescent="0.3">
      <c r="A575" s="1" t="s">
        <v>13</v>
      </c>
      <c r="B575" s="1" t="s">
        <v>10</v>
      </c>
      <c r="C575">
        <v>2024</v>
      </c>
      <c r="D575">
        <v>10</v>
      </c>
      <c r="E575">
        <v>44347.829711569997</v>
      </c>
      <c r="F575">
        <v>1480</v>
      </c>
    </row>
    <row r="576" spans="1:6" x14ac:dyDescent="0.3">
      <c r="A576" s="1" t="s">
        <v>13</v>
      </c>
      <c r="B576" s="1" t="s">
        <v>10</v>
      </c>
      <c r="C576">
        <v>2024</v>
      </c>
      <c r="D576">
        <v>11</v>
      </c>
      <c r="E576">
        <v>42711.925180331105</v>
      </c>
      <c r="F576">
        <v>1418</v>
      </c>
    </row>
    <row r="577" spans="1:6" x14ac:dyDescent="0.3">
      <c r="A577" s="1" t="s">
        <v>13</v>
      </c>
      <c r="B577" s="1" t="s">
        <v>10</v>
      </c>
      <c r="C577">
        <v>2024</v>
      </c>
      <c r="D577">
        <v>12</v>
      </c>
      <c r="E577">
        <v>49299.651537374099</v>
      </c>
      <c r="F577">
        <v>1660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DDF03D-2A5A-44A0-9AD8-8F11DF6950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by_channel</vt:lpstr>
      <vt:lpstr>by_product_region_month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Ioannis Dogaris</dc:creator>
  <cp:lastModifiedBy>Ioannis Dogaris</cp:lastModifiedBy>
  <dcterms:created xsi:type="dcterms:W3CDTF">2026-05-03T14:13:50Z</dcterms:created>
  <dcterms:modified xsi:type="dcterms:W3CDTF">2026-05-03T15:42:04Z</dcterms:modified>
</cp:coreProperties>
</file>